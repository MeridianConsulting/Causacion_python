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1F4E79"/>
      <sz val="14"/>
    </font>
    <font>
      <b val="1"/>
      <color rgb="002E5984"/>
      <sz val="11"/>
    </font>
    <font>
      <sz val="10"/>
    </font>
    <font>
      <b val="1"/>
      <sz val="10"/>
    </font>
    <font>
      <b val="1"/>
      <color rgb="002E5984"/>
      <sz val="10"/>
    </font>
    <font>
      <b val="1"/>
      <color rgb="001F4E79"/>
      <sz val="10"/>
    </font>
    <font>
      <i val="1"/>
      <sz val="9"/>
    </font>
    <font>
      <sz val="9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8F8"/>
        <bgColor rgb="00F8F8F8"/>
      </patternFill>
    </fill>
    <fill>
      <patternFill patternType="solid">
        <fgColor rgb="00E6F3FF"/>
        <bgColor rgb="00E6F3FF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indent="2"/>
    </xf>
    <xf numFmtId="0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35" customHeight="1">
      <c r="A2" s="2" t="inlineStr">
        <is>
          <t>REPORTE DE CAUSACIÓN - RESUMEN EJECUTIVO</t>
        </is>
      </c>
    </row>
    <row r="3" ht="25" customHeight="1">
      <c r="A3" s="3" t="inlineStr"/>
      <c r="B3" s="3" t="inlineStr"/>
    </row>
    <row r="4" ht="25" customHeight="1">
      <c r="A4" s="4">
        <f>== INFORMACIÓN GENERAL ===</f>
        <v/>
      </c>
    </row>
    <row r="5" ht="25" customHeight="1">
      <c r="A5" s="5" t="inlineStr">
        <is>
          <t>Fecha de Generación</t>
        </is>
      </c>
      <c r="B5" s="6" t="inlineStr">
        <is>
          <t>01-12-2025 09:37:17</t>
        </is>
      </c>
    </row>
    <row r="6" ht="25" customHeight="1">
      <c r="A6" s="7" t="inlineStr">
        <is>
          <t>Archivo DIAN Procesado</t>
        </is>
      </c>
      <c r="B6" s="8" t="inlineStr">
        <is>
          <t>DIAN.xlsx</t>
        </is>
      </c>
    </row>
    <row r="7" ht="25" customHeight="1">
      <c r="A7" s="5" t="inlineStr">
        <is>
          <t>Archivo Contable Procesado</t>
        </is>
      </c>
      <c r="B7" s="6" t="inlineStr">
        <is>
          <t>CRUCE_FINAL_OCTUBRE.xlsx</t>
        </is>
      </c>
    </row>
    <row r="8" ht="25" customHeight="1">
      <c r="A8" s="3" t="inlineStr"/>
      <c r="B8" s="3" t="inlineStr"/>
    </row>
    <row r="9" ht="25" customHeight="1">
      <c r="A9" s="4">
        <f>== RESUMEN DE REGISTROS VÁLIDOS ===</f>
        <v/>
      </c>
    </row>
    <row r="10" ht="25" customHeight="1">
      <c r="A10" s="7" t="inlineStr">
        <is>
          <t>Total de Registros Válidos</t>
        </is>
      </c>
      <c r="B10" s="8" t="inlineStr">
        <is>
          <t>376</t>
        </is>
      </c>
    </row>
    <row r="11" ht="25" customHeight="1">
      <c r="A11" s="5" t="inlineStr">
        <is>
          <t>Total de Coincidencias</t>
        </is>
      </c>
      <c r="B11" s="6" t="inlineStr">
        <is>
          <t>339</t>
        </is>
      </c>
    </row>
    <row r="12" ht="25" customHeight="1">
      <c r="A12" s="7" t="inlineStr">
        <is>
          <t>Total de No Coincidencias Válidas</t>
        </is>
      </c>
      <c r="B12" s="8" t="inlineStr">
        <is>
          <t>37</t>
        </is>
      </c>
    </row>
    <row r="13" ht="25" customHeight="1">
      <c r="A13" s="3" t="inlineStr"/>
      <c r="B13" s="3" t="inlineStr"/>
    </row>
    <row r="14" ht="25" customHeight="1">
      <c r="A14" s="4">
        <f>== ANÁLISIS DE MATCHING ===</f>
        <v/>
      </c>
    </row>
    <row r="15" ht="25" customHeight="1">
      <c r="A15" s="5" t="inlineStr">
        <is>
          <t>Tasa de Matching (%)</t>
        </is>
      </c>
      <c r="B15" s="9" t="inlineStr">
        <is>
          <t>90.16%</t>
        </is>
      </c>
    </row>
    <row r="16" ht="25" customHeight="1">
      <c r="A16" s="7" t="inlineStr">
        <is>
          <t>Tasa de No Coincidencias (%)</t>
        </is>
      </c>
      <c r="B16" s="10" t="inlineStr">
        <is>
          <t>9.84%</t>
        </is>
      </c>
    </row>
    <row r="17" ht="25" customHeight="1">
      <c r="A17" s="5" t="inlineStr">
        <is>
          <t>Calidad General del Proceso</t>
        </is>
      </c>
      <c r="B17" s="6" t="inlineStr">
        <is>
          <t>Excelente</t>
        </is>
      </c>
    </row>
    <row r="18" ht="25" customHeight="1">
      <c r="A18" s="3" t="inlineStr"/>
      <c r="B18" s="3" t="inlineStr"/>
    </row>
    <row r="19" ht="25" customHeight="1">
      <c r="A19" s="4">
        <f>== DESGLOSE DE NO COINCIDENCIAS ===</f>
        <v/>
      </c>
    </row>
    <row r="20" ht="25" customHeight="1">
      <c r="A20" s="7" t="inlineStr">
        <is>
          <t>Registros DIAN sin Contraparte</t>
        </is>
      </c>
      <c r="B20" s="8" t="inlineStr">
        <is>
          <t>37</t>
        </is>
      </c>
    </row>
    <row r="21" ht="25" customHeight="1">
      <c r="A21" s="5" t="inlineStr">
        <is>
          <t>Registros Contables sin Contraparte</t>
        </is>
      </c>
      <c r="B21" s="6" t="inlineStr">
        <is>
          <t>535</t>
        </is>
      </c>
    </row>
    <row r="22" ht="25" customHeight="1">
      <c r="A22" s="3" t="inlineStr"/>
      <c r="B22" s="3" t="inlineStr"/>
    </row>
    <row r="23" ht="25" customHeight="1">
      <c r="A23" s="4">
        <f>== ANÁLISIS DE VALORES ===</f>
        <v/>
      </c>
    </row>
    <row r="24" ht="25" customHeight="1">
      <c r="A24" s="7" t="inlineStr">
        <is>
          <t>Valor Total de Coincidencias</t>
        </is>
      </c>
      <c r="B24" s="11" t="inlineStr">
        <is>
          <t>$705,055,688.55</t>
        </is>
      </c>
    </row>
    <row r="25" ht="25" customHeight="1">
      <c r="A25" s="5" t="inlineStr">
        <is>
          <t>Valor Total de No Coincidencias Válidas</t>
        </is>
      </c>
      <c r="B25" s="12" t="inlineStr">
        <is>
          <t>$4,924,228,725.38</t>
        </is>
      </c>
    </row>
    <row r="26" ht="25" customHeight="1">
      <c r="A26" s="13" t="inlineStr">
        <is>
          <t xml:space="preserve">  - Valor DIAN sin Contraparte</t>
        </is>
      </c>
      <c r="B26" s="14" t="inlineStr">
        <is>
          <t>$4,528,966,255.16</t>
        </is>
      </c>
    </row>
    <row r="27" ht="25" customHeight="1">
      <c r="A27" s="13" t="inlineStr">
        <is>
          <t xml:space="preserve">  - Valor Contable sin Contraparte</t>
        </is>
      </c>
      <c r="B27" s="14" t="inlineStr">
        <is>
          <t>$395,262,470.22</t>
        </is>
      </c>
    </row>
    <row r="28" ht="25" customHeight="1">
      <c r="A28" s="3" t="inlineStr"/>
      <c r="B28" s="3" t="inlineStr"/>
    </row>
    <row r="29" ht="25" customHeight="1">
      <c r="A29" s="4">
        <f>== MÉTRICAS DE CALIDAD ===</f>
        <v/>
      </c>
    </row>
    <row r="30" ht="25" customHeight="1">
      <c r="A30" s="7" t="inlineStr">
        <is>
          <t>Coincidencias Perfectas</t>
        </is>
      </c>
      <c r="B30" s="10" t="inlineStr">
        <is>
          <t>339 (100.0%)</t>
        </is>
      </c>
    </row>
    <row r="31" ht="25" customHeight="1">
      <c r="A31" s="3" t="inlineStr"/>
      <c r="B31" s="3" t="inlineStr"/>
    </row>
    <row r="32" ht="25" customHeight="1">
      <c r="A32" s="4">
        <f>== NOTAS ===</f>
        <v/>
      </c>
    </row>
    <row r="33" ht="25" customHeight="1">
      <c r="A33" s="15" t="inlineStr">
        <is>
          <t>• El porcentaje de matching se calcula sobre registros válidos únicamente</t>
        </is>
      </c>
    </row>
    <row r="34" ht="25" customHeight="1">
      <c r="A34" s="15" t="inlineStr">
        <is>
          <t>• Un registro es válido si tiene FOLIO (DIAN) o DOCUMENTO CRUCE (Contable)</t>
        </is>
      </c>
    </row>
    <row r="35" ht="25" customHeight="1">
      <c r="A35" s="15" t="inlineStr">
        <is>
          <t>• La calidad general se basa en múltiples factores del proceso</t>
        </is>
      </c>
    </row>
  </sheetData>
  <mergeCells count="11">
    <mergeCell ref="A4:B4"/>
    <mergeCell ref="A2:B2"/>
    <mergeCell ref="A29:B29"/>
    <mergeCell ref="A19:B19"/>
    <mergeCell ref="A33:B33"/>
    <mergeCell ref="A32:B32"/>
    <mergeCell ref="A14:B14"/>
    <mergeCell ref="A23:B23"/>
    <mergeCell ref="A9:B9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2025-12-01T14:37:17Z</dcterms:created>
  <dcterms:modified xmlns:dcterms="http://purl.org/dc/terms/" xmlns:xsi="http://www.w3.org/2001/XMLSchema-instance" xsi:type="dcterms:W3CDTF">2025-12-01T14:37:17Z</dcterms:modified>
</cp:coreProperties>
</file>