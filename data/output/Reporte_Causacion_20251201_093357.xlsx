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incidencias" sheetId="2" state="visible" r:id="rId2"/>
    <sheet xmlns:r="http://schemas.openxmlformats.org/officeDocument/2006/relationships" name="No_coincid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color rgb="001F4E79"/>
      <sz val="14"/>
    </font>
    <font>
      <b val="1"/>
      <color rgb="002E5984"/>
      <sz val="11"/>
    </font>
    <font>
      <sz val="10"/>
    </font>
    <font>
      <b val="1"/>
      <sz val="10"/>
    </font>
    <font>
      <i val="1"/>
      <sz val="9"/>
    </font>
    <font>
      <sz val="9"/>
    </font>
    <font>
      <b val="1"/>
      <color rgb="002E5984"/>
      <sz val="10"/>
    </font>
    <font>
      <b val="1"/>
      <color rgb="001F4E79"/>
      <sz val="10"/>
    </font>
    <font>
      <i val="1"/>
      <color rgb="00666666"/>
      <sz val="9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F8F8"/>
        <bgColor rgb="00F8F8F8"/>
      </patternFill>
    </fill>
    <fill>
      <patternFill patternType="solid">
        <fgColor rgb="00E6F3FF"/>
        <bgColor rgb="00E6F3FF"/>
      </patternFill>
    </fill>
    <fill>
      <patternFill patternType="solid">
        <fgColor rgb="00FFFFFF"/>
        <bgColor rgb="00FFFFFF"/>
      </patternFill>
    </fill>
    <fill>
      <patternFill patternType="solid">
        <fgColor rgb="00F8F9FA"/>
        <bgColor rgb="00F8F9FA"/>
      </patternFill>
    </fill>
    <fill>
      <patternFill patternType="solid">
        <fgColor rgb="002E5984"/>
        <bgColor rgb="002E598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0" fillId="3" borderId="2" pivotButton="0" quotePrefix="0" xfId="0"/>
    <xf numFmtId="0" fontId="4" fillId="4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right" vertical="center"/>
    </xf>
    <xf numFmtId="0" fontId="5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right" vertical="center"/>
    </xf>
    <xf numFmtId="0" fontId="7" fillId="0" borderId="2" applyAlignment="1" pivotButton="0" quotePrefix="0" xfId="0">
      <alignment horizontal="left" vertical="center" indent="2"/>
    </xf>
    <xf numFmtId="0" fontId="8" fillId="0" borderId="2" applyAlignment="1" pivotButton="0" quotePrefix="0" xfId="0">
      <alignment horizontal="right" vertical="center"/>
    </xf>
    <xf numFmtId="0" fontId="9" fillId="5" borderId="2" applyAlignment="1" pivotButton="0" quotePrefix="0" xfId="0">
      <alignment horizontal="right" vertical="center"/>
    </xf>
    <xf numFmtId="0" fontId="9" fillId="6" borderId="2" applyAlignment="1" pivotButton="0" quotePrefix="0" xfId="0">
      <alignment horizontal="right" vertical="center"/>
    </xf>
    <xf numFmtId="0" fontId="10" fillId="6" borderId="2" applyAlignment="1" pivotButton="0" quotePrefix="0" xfId="0">
      <alignment horizontal="right" vertical="center"/>
    </xf>
    <xf numFmtId="0" fontId="10" fillId="5" borderId="2" applyAlignment="1" pivotButton="0" quotePrefix="0" xfId="0">
      <alignment horizontal="right" vertical="center"/>
    </xf>
    <xf numFmtId="0" fontId="11" fillId="0" borderId="2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Coincidencias" displayName="TablaCoincidencias" ref="A1:E340" headerRowCount="1">
  <autoFilter ref="A1:E340"/>
  <tableColumns count="5">
    <tableColumn id="1" name="NIT"/>
    <tableColumn id="2" name="DOCUMENTO CRUCE"/>
    <tableColumn id="3" name="FOLIO"/>
    <tableColumn id="4" name="VALOR"/>
    <tableColumn id="5" name="NOMBR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aNocoincidencias" displayName="TablaNocoincidencias" ref="A1:E573" headerRowCount="1">
  <autoFilter ref="A1:E573"/>
  <tableColumns count="5">
    <tableColumn id="1" name="NIT"/>
    <tableColumn id="2" name="DOCUMENTO CRUCE"/>
    <tableColumn id="3" name="FOLIO"/>
    <tableColumn id="4" name="VALOR"/>
    <tableColumn id="5" name="NOMBR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 ht="25" customHeight="1">
      <c r="A1" s="1" t="inlineStr">
        <is>
          <t>Métrica</t>
        </is>
      </c>
      <c r="B1" s="1" t="inlineStr">
        <is>
          <t>Valor</t>
        </is>
      </c>
    </row>
    <row r="2" ht="35" customHeight="1">
      <c r="A2" s="2" t="inlineStr">
        <is>
          <t>REPORTE DE CAUSACIÓN - RESUMEN EJECUTIVO</t>
        </is>
      </c>
    </row>
    <row r="3" ht="25" customHeight="1">
      <c r="A3" s="3" t="inlineStr"/>
      <c r="B3" s="3" t="inlineStr"/>
    </row>
    <row r="4" ht="25" customHeight="1">
      <c r="A4" s="4">
        <f>== INFORMACIÓN GENERAL ===</f>
        <v/>
      </c>
    </row>
    <row r="5" ht="25" customHeight="1">
      <c r="A5" s="5" t="inlineStr">
        <is>
          <t>Fecha de Generación</t>
        </is>
      </c>
      <c r="B5" s="6" t="inlineStr">
        <is>
          <t>01-12-2025 09:33:57</t>
        </is>
      </c>
    </row>
    <row r="6" ht="25" customHeight="1">
      <c r="A6" s="7" t="inlineStr">
        <is>
          <t>Archivo DIAN Procesado</t>
        </is>
      </c>
      <c r="B6" s="8" t="inlineStr">
        <is>
          <t>DIAN.xlsx</t>
        </is>
      </c>
    </row>
    <row r="7" ht="25" customHeight="1">
      <c r="A7" s="5" t="inlineStr">
        <is>
          <t>Archivo Contable Procesado</t>
        </is>
      </c>
      <c r="B7" s="6" t="inlineStr">
        <is>
          <t>CRUCE_FINAL_OCTUBRE.xlsx</t>
        </is>
      </c>
    </row>
    <row r="8" ht="25" customHeight="1">
      <c r="A8" s="3" t="inlineStr"/>
      <c r="B8" s="3" t="inlineStr"/>
    </row>
    <row r="9" ht="25" customHeight="1">
      <c r="A9" s="4">
        <f>== RESUMEN DE REGISTROS ===</f>
        <v/>
      </c>
    </row>
    <row r="10" ht="25" customHeight="1">
      <c r="A10" s="7" t="inlineStr">
        <is>
          <t>Total de Registros Procesados</t>
        </is>
      </c>
      <c r="B10" s="8" t="inlineStr">
        <is>
          <t>911</t>
        </is>
      </c>
    </row>
    <row r="11" ht="25" customHeight="1">
      <c r="A11" s="9" t="inlineStr">
        <is>
          <t xml:space="preserve">  - Registros Válidos</t>
        </is>
      </c>
      <c r="B11" s="10" t="inlineStr">
        <is>
          <t>376</t>
        </is>
      </c>
    </row>
    <row r="12" ht="25" customHeight="1">
      <c r="A12" s="9" t="inlineStr">
        <is>
          <t xml:space="preserve">  - Registros Inválidos (excluidos)</t>
        </is>
      </c>
      <c r="B12" s="10" t="inlineStr">
        <is>
          <t>535</t>
        </is>
      </c>
    </row>
    <row r="13" ht="25" customHeight="1">
      <c r="A13" s="5" t="inlineStr">
        <is>
          <t>Total de Coincidencias</t>
        </is>
      </c>
      <c r="B13" s="6" t="inlineStr">
        <is>
          <t>339</t>
        </is>
      </c>
    </row>
    <row r="14" ht="25" customHeight="1">
      <c r="A14" s="7" t="inlineStr">
        <is>
          <t>Total de No Coincidencias</t>
        </is>
      </c>
      <c r="B14" s="8" t="inlineStr">
        <is>
          <t>572</t>
        </is>
      </c>
    </row>
    <row r="15" ht="25" customHeight="1">
      <c r="A15" s="3" t="inlineStr"/>
      <c r="B15" s="3" t="inlineStr"/>
    </row>
    <row r="16" ht="25" customHeight="1">
      <c r="A16" s="4">
        <f>== ANÁLISIS DE MATCHING ===</f>
        <v/>
      </c>
    </row>
    <row r="17" ht="25" customHeight="1">
      <c r="A17" s="5" t="inlineStr">
        <is>
          <t>Tasa de Matching (%)</t>
        </is>
      </c>
      <c r="B17" s="11" t="inlineStr">
        <is>
          <t>90.16%</t>
        </is>
      </c>
    </row>
    <row r="18" ht="25" customHeight="1">
      <c r="A18" s="7" t="inlineStr">
        <is>
          <t>Tasa de No Coincidencias (%)</t>
        </is>
      </c>
      <c r="B18" s="12" t="inlineStr">
        <is>
          <t>9.84%</t>
        </is>
      </c>
    </row>
    <row r="19" ht="25" customHeight="1">
      <c r="A19" s="5" t="inlineStr">
        <is>
          <t>Calidad General del Proceso</t>
        </is>
      </c>
      <c r="B19" s="6" t="inlineStr">
        <is>
          <t>Excelente</t>
        </is>
      </c>
    </row>
    <row r="20" ht="25" customHeight="1">
      <c r="A20" s="3" t="inlineStr"/>
      <c r="B20" s="3" t="inlineStr"/>
    </row>
    <row r="21" ht="25" customHeight="1">
      <c r="A21" s="4">
        <f>== DESGLOSE DE NO COINCIDENCIAS ===</f>
        <v/>
      </c>
    </row>
    <row r="22" ht="25" customHeight="1">
      <c r="A22" s="7" t="inlineStr">
        <is>
          <t>Registros DIAN sin Contraparte</t>
        </is>
      </c>
      <c r="B22" s="8" t="inlineStr">
        <is>
          <t>37</t>
        </is>
      </c>
    </row>
    <row r="23" ht="25" customHeight="1">
      <c r="A23" s="5" t="inlineStr">
        <is>
          <t>Registros Contables sin Contraparte</t>
        </is>
      </c>
      <c r="B23" s="6" t="inlineStr">
        <is>
          <t>535</t>
        </is>
      </c>
    </row>
    <row r="24" ht="25" customHeight="1">
      <c r="A24" s="3" t="inlineStr"/>
      <c r="B24" s="3" t="inlineStr"/>
    </row>
    <row r="25" ht="25" customHeight="1">
      <c r="A25" s="4">
        <f>== ANÁLISIS DE VALORES ===</f>
        <v/>
      </c>
    </row>
    <row r="26" ht="25" customHeight="1">
      <c r="A26" s="7" t="inlineStr">
        <is>
          <t>Valor Total de Coincidencias</t>
        </is>
      </c>
      <c r="B26" s="13" t="inlineStr">
        <is>
          <t>$705,055,688.55</t>
        </is>
      </c>
    </row>
    <row r="27" ht="25" customHeight="1">
      <c r="A27" s="5" t="inlineStr">
        <is>
          <t>Valor Total de No Coincidencias</t>
        </is>
      </c>
      <c r="B27" s="14" t="inlineStr">
        <is>
          <t>$4,924,228,725.38</t>
        </is>
      </c>
    </row>
    <row r="28" ht="25" customHeight="1">
      <c r="A28" s="9" t="inlineStr">
        <is>
          <t xml:space="preserve">  - Valor DIAN sin Contraparte</t>
        </is>
      </c>
      <c r="B28" s="10" t="inlineStr">
        <is>
          <t>$4,528,966,255.16</t>
        </is>
      </c>
    </row>
    <row r="29" ht="25" customHeight="1">
      <c r="A29" s="9" t="inlineStr">
        <is>
          <t xml:space="preserve">  - Valor Contable sin Contraparte</t>
        </is>
      </c>
      <c r="B29" s="10" t="inlineStr">
        <is>
          <t>$395,262,470.22</t>
        </is>
      </c>
    </row>
    <row r="30" ht="25" customHeight="1">
      <c r="A30" s="7" t="inlineStr">
        <is>
          <t>Valor Total Procesado</t>
        </is>
      </c>
      <c r="B30" s="13" t="inlineStr">
        <is>
          <t>$5,629,284,413.93</t>
        </is>
      </c>
    </row>
    <row r="31" ht="25" customHeight="1">
      <c r="A31" s="3" t="inlineStr"/>
      <c r="B31" s="3" t="inlineStr"/>
    </row>
    <row r="32" ht="25" customHeight="1">
      <c r="A32" s="4">
        <f>== MÉTRICAS DE CALIDAD ===</f>
        <v/>
      </c>
    </row>
    <row r="33" ht="25" customHeight="1">
      <c r="A33" s="5" t="inlineStr">
        <is>
          <t>Coincidencias Perfectas</t>
        </is>
      </c>
      <c r="B33" s="11" t="inlineStr">
        <is>
          <t>339 (100.0%)</t>
        </is>
      </c>
    </row>
    <row r="34" ht="25" customHeight="1">
      <c r="A34" s="3" t="inlineStr"/>
      <c r="B34" s="3" t="inlineStr"/>
    </row>
    <row r="35" ht="25" customHeight="1">
      <c r="A35" s="4">
        <f>== NOTAS ===</f>
        <v/>
      </c>
    </row>
    <row r="36" ht="25" customHeight="1">
      <c r="A36" s="15" t="inlineStr">
        <is>
          <t>• El porcentaje de matching se calcula sobre registros válidos únicamente</t>
        </is>
      </c>
    </row>
    <row r="37" ht="25" customHeight="1">
      <c r="A37" s="15" t="inlineStr">
        <is>
          <t>• Los registros inválidos son aquellos sin FOLIO (DIAN) o sin DOCUMENTO CRUCE (Contable)</t>
        </is>
      </c>
    </row>
    <row r="38" ht="25" customHeight="1">
      <c r="A38" s="15" t="inlineStr">
        <is>
          <t>• La calidad general se basa en múltiples factores del proceso</t>
        </is>
      </c>
    </row>
  </sheetData>
  <mergeCells count="11">
    <mergeCell ref="A4:B4"/>
    <mergeCell ref="A21:B21"/>
    <mergeCell ref="A16:B16"/>
    <mergeCell ref="A2:B2"/>
    <mergeCell ref="A38:B38"/>
    <mergeCell ref="A25:B25"/>
    <mergeCell ref="A37:B37"/>
    <mergeCell ref="A32:B32"/>
    <mergeCell ref="A36:B36"/>
    <mergeCell ref="A9:B9"/>
    <mergeCell ref="A35:B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35" customWidth="1" min="5" max="5"/>
  </cols>
  <sheetData>
    <row r="1">
      <c r="A1" s="16" t="inlineStr">
        <is>
          <t>NIT</t>
        </is>
      </c>
      <c r="B1" s="16" t="inlineStr">
        <is>
          <t>DOCUMENTO CRUCE</t>
        </is>
      </c>
      <c r="C1" s="16" t="inlineStr">
        <is>
          <t>FOLIO</t>
        </is>
      </c>
      <c r="D1" s="16" t="inlineStr">
        <is>
          <t>VALOR</t>
        </is>
      </c>
      <c r="E1" s="16" t="inlineStr">
        <is>
          <t>NOMBRE</t>
        </is>
      </c>
    </row>
    <row r="2">
      <c r="A2" t="inlineStr">
        <is>
          <t>830116500</t>
        </is>
      </c>
      <c r="B2" t="inlineStr">
        <is>
          <t>710</t>
        </is>
      </c>
      <c r="C2" t="inlineStr">
        <is>
          <t>1001926</t>
        </is>
      </c>
      <c r="D2" t="n">
        <v>3818850.92</v>
      </c>
      <c r="E2" t="inlineStr">
        <is>
          <t>SEGUROS DEL ESTADO S.A.</t>
        </is>
      </c>
    </row>
    <row r="3">
      <c r="A3" t="inlineStr">
        <is>
          <t>830116500</t>
        </is>
      </c>
      <c r="B3" t="inlineStr">
        <is>
          <t>31378223</t>
        </is>
      </c>
      <c r="C3" t="inlineStr">
        <is>
          <t>1003330</t>
        </is>
      </c>
      <c r="D3" t="n">
        <v>915320</v>
      </c>
      <c r="E3" t="inlineStr">
        <is>
          <t>PRICE RES S A S</t>
        </is>
      </c>
    </row>
    <row r="4">
      <c r="A4" t="inlineStr">
        <is>
          <t>830116500</t>
        </is>
      </c>
      <c r="B4" t="inlineStr">
        <is>
          <t>10155</t>
        </is>
      </c>
      <c r="C4" t="inlineStr">
        <is>
          <t>10155</t>
        </is>
      </c>
      <c r="D4" t="n">
        <v>150128</v>
      </c>
      <c r="E4" t="inlineStr">
        <is>
          <t>EDS LLANO GRANDE S.A.S</t>
        </is>
      </c>
    </row>
    <row r="5">
      <c r="A5" t="inlineStr">
        <is>
          <t>830116500</t>
        </is>
      </c>
      <c r="B5" t="inlineStr">
        <is>
          <t>8849</t>
        </is>
      </c>
      <c r="C5" t="inlineStr">
        <is>
          <t>10212</t>
        </is>
      </c>
      <c r="D5" t="n">
        <v>356000</v>
      </c>
      <c r="E5" t="inlineStr">
        <is>
          <t>INVERSIONES SAROCA SAS</t>
        </is>
      </c>
    </row>
    <row r="6">
      <c r="A6" t="inlineStr">
        <is>
          <t>830116500</t>
        </is>
      </c>
      <c r="B6" t="inlineStr">
        <is>
          <t>309266</t>
        </is>
      </c>
      <c r="C6" t="inlineStr">
        <is>
          <t>10213</t>
        </is>
      </c>
      <c r="D6" t="n">
        <v>356000</v>
      </c>
      <c r="E6" t="inlineStr">
        <is>
          <t>INVERSIONES SAROCA SAS</t>
        </is>
      </c>
    </row>
    <row r="7">
      <c r="A7" t="inlineStr">
        <is>
          <t>830116500</t>
        </is>
      </c>
      <c r="B7" t="inlineStr">
        <is>
          <t>5204</t>
        </is>
      </c>
      <c r="C7" t="inlineStr">
        <is>
          <t>102351</t>
        </is>
      </c>
      <c r="D7" t="n">
        <v>50000</v>
      </c>
      <c r="E7" t="inlineStr">
        <is>
          <t>GRUPO EDS AUTOGAS S.A.S</t>
        </is>
      </c>
    </row>
    <row r="8">
      <c r="A8" t="inlineStr">
        <is>
          <t>830116500</t>
        </is>
      </c>
      <c r="B8" t="inlineStr">
        <is>
          <t>1723</t>
        </is>
      </c>
      <c r="C8" t="inlineStr">
        <is>
          <t>1035454</t>
        </is>
      </c>
      <c r="D8" t="n">
        <v>796750</v>
      </c>
      <c r="E8" t="inlineStr">
        <is>
          <t>PRICE RES S A S</t>
        </is>
      </c>
    </row>
    <row r="9">
      <c r="A9" t="inlineStr">
        <is>
          <t>830116500</t>
        </is>
      </c>
      <c r="B9" t="inlineStr">
        <is>
          <t>902280</t>
        </is>
      </c>
      <c r="C9" t="inlineStr">
        <is>
          <t>1046742</t>
        </is>
      </c>
      <c r="D9" t="n">
        <v>2383004.05</v>
      </c>
      <c r="E9" t="inlineStr">
        <is>
          <t>PRICE RES S A S</t>
        </is>
      </c>
    </row>
    <row r="10">
      <c r="A10" t="inlineStr">
        <is>
          <t>830116500</t>
        </is>
      </c>
      <c r="B10" t="inlineStr">
        <is>
          <t>292376004</t>
        </is>
      </c>
      <c r="C10" t="inlineStr">
        <is>
          <t>1059779</t>
        </is>
      </c>
      <c r="D10" t="n">
        <v>414552.24</v>
      </c>
      <c r="E10" t="inlineStr">
        <is>
          <t>PRICE RES S A S</t>
        </is>
      </c>
    </row>
    <row r="11">
      <c r="A11" t="inlineStr">
        <is>
          <t>830116500</t>
        </is>
      </c>
      <c r="B11" t="inlineStr">
        <is>
          <t>8976</t>
        </is>
      </c>
      <c r="C11" t="inlineStr">
        <is>
          <t>1062624</t>
        </is>
      </c>
      <c r="D11" t="n">
        <v>180000</v>
      </c>
      <c r="E11" t="inlineStr">
        <is>
          <t>PRICE RES S A S</t>
        </is>
      </c>
    </row>
    <row r="12">
      <c r="A12" t="inlineStr">
        <is>
          <t>830116500</t>
        </is>
      </c>
      <c r="B12" t="inlineStr">
        <is>
          <t>281464</t>
        </is>
      </c>
      <c r="C12" t="inlineStr">
        <is>
          <t>1123535095</t>
        </is>
      </c>
      <c r="D12" t="n">
        <v>186602</v>
      </c>
      <c r="E12" t="inlineStr">
        <is>
          <t>COMUNICACION CELULAR S A  COMCEL S A</t>
        </is>
      </c>
    </row>
    <row r="13">
      <c r="A13" t="inlineStr">
        <is>
          <t>830116500</t>
        </is>
      </c>
      <c r="B13" t="inlineStr">
        <is>
          <t>309266</t>
        </is>
      </c>
      <c r="C13" t="inlineStr">
        <is>
          <t>1124193598</t>
        </is>
      </c>
      <c r="D13" t="n">
        <v>309900</v>
      </c>
      <c r="E13" t="inlineStr">
        <is>
          <t>COMUNICACION CELULAR S A  COMCEL S A</t>
        </is>
      </c>
    </row>
    <row r="14">
      <c r="A14" t="inlineStr">
        <is>
          <t>830116500</t>
        </is>
      </c>
      <c r="B14" t="inlineStr">
        <is>
          <t>969</t>
        </is>
      </c>
      <c r="C14" t="inlineStr">
        <is>
          <t>11359</t>
        </is>
      </c>
      <c r="D14" t="n">
        <v>35700</v>
      </c>
      <c r="E14" t="inlineStr">
        <is>
          <t>GERIZIM NETSERVICE Y TECH 01 00</t>
        </is>
      </c>
    </row>
    <row r="15">
      <c r="A15" t="inlineStr">
        <is>
          <t>830116500</t>
        </is>
      </c>
      <c r="B15" t="inlineStr">
        <is>
          <t>3244</t>
        </is>
      </c>
      <c r="C15" t="inlineStr">
        <is>
          <t>1139991</t>
        </is>
      </c>
      <c r="D15" t="n">
        <v>16900</v>
      </c>
      <c r="E15" t="inlineStr">
        <is>
          <t>SUPERMERCADOS MAS POR MENOS S.A.S.</t>
        </is>
      </c>
    </row>
    <row r="16">
      <c r="A16" t="inlineStr">
        <is>
          <t>830116500</t>
        </is>
      </c>
      <c r="B16" t="inlineStr">
        <is>
          <t>3244</t>
        </is>
      </c>
      <c r="C16" t="inlineStr">
        <is>
          <t>1139992</t>
        </is>
      </c>
      <c r="D16" t="n">
        <v>16000</v>
      </c>
      <c r="E16" t="inlineStr">
        <is>
          <t>SUPERMERCADOS MAS POR MENOS S.A.S.</t>
        </is>
      </c>
    </row>
    <row r="17">
      <c r="A17" t="inlineStr">
        <is>
          <t>830116500</t>
        </is>
      </c>
      <c r="B17" t="inlineStr">
        <is>
          <t>199</t>
        </is>
      </c>
      <c r="C17" t="inlineStr">
        <is>
          <t>115459</t>
        </is>
      </c>
      <c r="D17" t="n">
        <v>272699.97</v>
      </c>
      <c r="E17" t="inlineStr">
        <is>
          <t>G.COMERCIA S.A.S</t>
        </is>
      </c>
    </row>
    <row r="18">
      <c r="A18" t="inlineStr">
        <is>
          <t>830116500</t>
        </is>
      </c>
      <c r="B18" t="inlineStr">
        <is>
          <t>183</t>
        </is>
      </c>
      <c r="C18" t="inlineStr">
        <is>
          <t>1184</t>
        </is>
      </c>
      <c r="D18" t="n">
        <v>210100</v>
      </c>
      <c r="E18" t="inlineStr">
        <is>
          <t>TRADICION GASTRONOMICA SAS</t>
        </is>
      </c>
    </row>
    <row r="19">
      <c r="A19" t="inlineStr">
        <is>
          <t>830116500</t>
        </is>
      </c>
      <c r="B19" t="inlineStr">
        <is>
          <t>899363</t>
        </is>
      </c>
      <c r="C19" t="inlineStr">
        <is>
          <t>118787</t>
        </is>
      </c>
      <c r="D19" t="n">
        <v>45260</v>
      </c>
      <c r="E19" t="inlineStr">
        <is>
          <t>SUPERTIENDAS Y DROGUERIAS OLIMPICA S.A.</t>
        </is>
      </c>
    </row>
    <row r="20">
      <c r="A20" t="inlineStr">
        <is>
          <t>830116500</t>
        </is>
      </c>
      <c r="B20" t="inlineStr">
        <is>
          <t>4121147</t>
        </is>
      </c>
      <c r="C20" t="inlineStr">
        <is>
          <t>11982</t>
        </is>
      </c>
      <c r="D20" t="n">
        <v>52800</v>
      </c>
      <c r="E20" t="inlineStr">
        <is>
          <t>COMERCIALIZADORA MEDINA Y ASOCIADOS SAS</t>
        </is>
      </c>
    </row>
    <row r="21">
      <c r="A21" t="inlineStr">
        <is>
          <t>830116500</t>
        </is>
      </c>
      <c r="B21" t="inlineStr">
        <is>
          <t>8229768</t>
        </is>
      </c>
      <c r="C21" t="inlineStr">
        <is>
          <t>12025</t>
        </is>
      </c>
      <c r="D21" t="n">
        <v>71000</v>
      </c>
      <c r="E21" t="inlineStr">
        <is>
          <t>COMERCIALIZADORA MEDINA Y ASOCIADOS SAS</t>
        </is>
      </c>
    </row>
    <row r="22">
      <c r="A22" t="inlineStr">
        <is>
          <t>830116500</t>
        </is>
      </c>
      <c r="B22" t="inlineStr">
        <is>
          <t>1124193598</t>
        </is>
      </c>
      <c r="C22" t="inlineStr">
        <is>
          <t>121147</t>
        </is>
      </c>
      <c r="D22" t="n">
        <v>63100</v>
      </c>
      <c r="E22" t="inlineStr">
        <is>
          <t>D1 S A S</t>
        </is>
      </c>
    </row>
    <row r="23">
      <c r="A23" t="inlineStr">
        <is>
          <t>830116500</t>
        </is>
      </c>
      <c r="B23" t="inlineStr">
        <is>
          <t>184</t>
        </is>
      </c>
      <c r="C23" t="inlineStr">
        <is>
          <t>12371</t>
        </is>
      </c>
      <c r="D23" t="n">
        <v>208500</v>
      </c>
      <c r="E23" t="inlineStr">
        <is>
          <t>GUSTAVO ENRIQUE REALES BELEÑO</t>
        </is>
      </c>
    </row>
    <row r="24">
      <c r="A24" t="inlineStr">
        <is>
          <t>830116500</t>
        </is>
      </c>
      <c r="B24" t="inlineStr">
        <is>
          <t>184</t>
        </is>
      </c>
      <c r="C24" t="inlineStr">
        <is>
          <t>126863843</t>
        </is>
      </c>
      <c r="D24" t="n">
        <v>218510</v>
      </c>
      <c r="E24" t="inlineStr">
        <is>
          <t>UNE EPM TELECOMUNICACIONES S.A</t>
        </is>
      </c>
    </row>
    <row r="25">
      <c r="A25" t="inlineStr">
        <is>
          <t>830116500</t>
        </is>
      </c>
      <c r="B25" t="inlineStr">
        <is>
          <t>155084</t>
        </is>
      </c>
      <c r="C25" t="inlineStr">
        <is>
          <t>128451</t>
        </is>
      </c>
      <c r="D25" t="n">
        <v>10050</v>
      </c>
      <c r="E25" t="inlineStr">
        <is>
          <t>JERONIMO MARTINS COLOMBIA S.A.S.</t>
        </is>
      </c>
    </row>
    <row r="26">
      <c r="A26" t="inlineStr">
        <is>
          <t>830116500</t>
        </is>
      </c>
      <c r="B26" t="inlineStr">
        <is>
          <t>3244</t>
        </is>
      </c>
      <c r="C26" t="inlineStr">
        <is>
          <t>128453</t>
        </is>
      </c>
      <c r="D26" t="n">
        <v>22050</v>
      </c>
      <c r="E26" t="inlineStr">
        <is>
          <t>JERONIMO MARTINS COLOMBIA S.A.S.</t>
        </is>
      </c>
    </row>
    <row r="27">
      <c r="A27" t="inlineStr">
        <is>
          <t>830116500</t>
        </is>
      </c>
      <c r="B27" t="inlineStr">
        <is>
          <t>1124193598</t>
        </is>
      </c>
      <c r="C27" t="inlineStr">
        <is>
          <t>12863</t>
        </is>
      </c>
      <c r="D27" t="n">
        <v>301330.72</v>
      </c>
      <c r="E27" t="inlineStr">
        <is>
          <t>MEGASERVICE SOFT SAS</t>
        </is>
      </c>
    </row>
    <row r="28">
      <c r="A28" t="inlineStr">
        <is>
          <t>830116500</t>
        </is>
      </c>
      <c r="B28" t="inlineStr">
        <is>
          <t>5204</t>
        </is>
      </c>
      <c r="C28" t="inlineStr">
        <is>
          <t>131979</t>
        </is>
      </c>
      <c r="D28" t="n">
        <v>50000</v>
      </c>
      <c r="E28" t="inlineStr">
        <is>
          <t>GRUPO EDS AUTOGAS S.A.S</t>
        </is>
      </c>
    </row>
    <row r="29">
      <c r="A29" t="inlineStr">
        <is>
          <t>830116500</t>
        </is>
      </c>
      <c r="B29" t="inlineStr">
        <is>
          <t>75</t>
        </is>
      </c>
      <c r="C29" t="inlineStr">
        <is>
          <t>134</t>
        </is>
      </c>
      <c r="D29" t="n">
        <v>17450981.1</v>
      </c>
      <c r="E29" t="inlineStr">
        <is>
          <t>LUIS FERNANDO GUTIERREZ VILLAMIL 01 00</t>
        </is>
      </c>
    </row>
    <row r="30">
      <c r="A30" t="inlineStr">
        <is>
          <t>830116500</t>
        </is>
      </c>
      <c r="B30" t="inlineStr">
        <is>
          <t>155084</t>
        </is>
      </c>
      <c r="C30" t="inlineStr">
        <is>
          <t>1350</t>
        </is>
      </c>
      <c r="D30" t="n">
        <v>24000</v>
      </c>
      <c r="E30" t="inlineStr">
        <is>
          <t>PIQUETEADERO DOÑA SEGUNDA TRADICION FAMILIAR S.A.S.</t>
        </is>
      </c>
    </row>
    <row r="31">
      <c r="A31" t="inlineStr">
        <is>
          <t>830116500</t>
        </is>
      </c>
      <c r="B31" t="inlineStr">
        <is>
          <t>13</t>
        </is>
      </c>
      <c r="C31" t="inlineStr">
        <is>
          <t>13680544</t>
        </is>
      </c>
      <c r="D31" t="n">
        <v>3619196</v>
      </c>
      <c r="E31" t="inlineStr">
        <is>
          <t>HDI SEGUROS COLOMBIA S.A.</t>
        </is>
      </c>
    </row>
    <row r="32">
      <c r="A32" t="inlineStr">
        <is>
          <t>830116500</t>
        </is>
      </c>
      <c r="B32" t="inlineStr">
        <is>
          <t>27</t>
        </is>
      </c>
      <c r="C32" t="inlineStr">
        <is>
          <t>13747017</t>
        </is>
      </c>
      <c r="D32" t="n">
        <v>1396960</v>
      </c>
      <c r="E32" t="inlineStr">
        <is>
          <t>HDI SEGUROS COLOMBIA S.A.</t>
        </is>
      </c>
    </row>
    <row r="33">
      <c r="A33" t="inlineStr">
        <is>
          <t>830116500</t>
        </is>
      </c>
      <c r="B33" t="inlineStr">
        <is>
          <t>899363</t>
        </is>
      </c>
      <c r="C33" t="inlineStr">
        <is>
          <t>13747038</t>
        </is>
      </c>
      <c r="D33" t="n">
        <v>1396960</v>
      </c>
      <c r="E33" t="inlineStr">
        <is>
          <t>HDI SEGUROS COLOMBIA S.A.</t>
        </is>
      </c>
    </row>
    <row r="34">
      <c r="A34" t="inlineStr">
        <is>
          <t>830116500</t>
        </is>
      </c>
      <c r="B34" t="inlineStr">
        <is>
          <t>3244</t>
        </is>
      </c>
      <c r="C34" t="inlineStr">
        <is>
          <t>14204</t>
        </is>
      </c>
      <c r="D34" t="n">
        <v>16500</v>
      </c>
      <c r="E34" t="inlineStr">
        <is>
          <t>LUIS GONZALO JIMENEZ MOLINA</t>
        </is>
      </c>
    </row>
    <row r="35">
      <c r="A35" t="inlineStr">
        <is>
          <t>830116500</t>
        </is>
      </c>
      <c r="B35" t="inlineStr">
        <is>
          <t>22</t>
        </is>
      </c>
      <c r="C35" t="inlineStr">
        <is>
          <t>143</t>
        </is>
      </c>
      <c r="D35" t="n">
        <v>13827800</v>
      </c>
      <c r="E35" t="inlineStr">
        <is>
          <t>OVIDIO ANDREZ GOMEZ RODRIGUEZ 01 00</t>
        </is>
      </c>
    </row>
    <row r="36">
      <c r="A36" t="inlineStr">
        <is>
          <t>830116500</t>
        </is>
      </c>
      <c r="B36" t="inlineStr">
        <is>
          <t>21215</t>
        </is>
      </c>
      <c r="C36" t="inlineStr">
        <is>
          <t>1476</t>
        </is>
      </c>
      <c r="D36" t="n">
        <v>112786</v>
      </c>
      <c r="E36" t="inlineStr">
        <is>
          <t>MARIA CAROLINA SUAREZ ALONSO</t>
        </is>
      </c>
    </row>
    <row r="37">
      <c r="A37" t="inlineStr">
        <is>
          <t>830116500</t>
        </is>
      </c>
      <c r="B37" t="inlineStr">
        <is>
          <t>18239</t>
        </is>
      </c>
      <c r="C37" t="inlineStr">
        <is>
          <t>14801458</t>
        </is>
      </c>
      <c r="D37" t="n">
        <v>624978</v>
      </c>
      <c r="E37" t="inlineStr">
        <is>
          <t>AEROVIAS DEL CONTINENTE AMERICANO, S.A. AVIANCA - COLOMBIA</t>
        </is>
      </c>
    </row>
    <row r="38">
      <c r="A38" t="inlineStr">
        <is>
          <t>830116500</t>
        </is>
      </c>
      <c r="B38" t="inlineStr">
        <is>
          <t>2790</t>
        </is>
      </c>
      <c r="C38" t="inlineStr">
        <is>
          <t>148170</t>
        </is>
      </c>
      <c r="D38" t="n">
        <v>1395590</v>
      </c>
      <c r="E38" t="inlineStr">
        <is>
          <t>LABORATORIO CLINICO COLMEDICOS IPS SAS</t>
        </is>
      </c>
    </row>
    <row r="39">
      <c r="A39" t="inlineStr">
        <is>
          <t>830116500</t>
        </is>
      </c>
      <c r="B39" t="inlineStr">
        <is>
          <t>1504807</t>
        </is>
      </c>
      <c r="C39" t="inlineStr">
        <is>
          <t>1504807</t>
        </is>
      </c>
      <c r="D39" t="n">
        <v>794400</v>
      </c>
      <c r="E39" t="inlineStr">
        <is>
          <t>LA PREVISORA S.A. COMPAÑIA DE SEGUROS</t>
        </is>
      </c>
    </row>
    <row r="40">
      <c r="A40" t="inlineStr">
        <is>
          <t>830116500</t>
        </is>
      </c>
      <c r="B40" t="inlineStr">
        <is>
          <t>4447</t>
        </is>
      </c>
      <c r="C40" t="inlineStr">
        <is>
          <t>1504809</t>
        </is>
      </c>
      <c r="D40" t="n">
        <v>1117100</v>
      </c>
      <c r="E40" t="inlineStr">
        <is>
          <t>LA PREVISORA S.A. COMPAÑIA DE SEGUROS</t>
        </is>
      </c>
    </row>
    <row r="41">
      <c r="A41" t="inlineStr">
        <is>
          <t>830116500</t>
        </is>
      </c>
      <c r="B41" t="inlineStr">
        <is>
          <t>710</t>
        </is>
      </c>
      <c r="C41" t="inlineStr">
        <is>
          <t>1504847</t>
        </is>
      </c>
      <c r="D41" t="n">
        <v>1117100</v>
      </c>
      <c r="E41" t="inlineStr">
        <is>
          <t>LA PREVISORA S.A. COMPAÑIA DE SEGUROS</t>
        </is>
      </c>
    </row>
    <row r="42">
      <c r="A42" t="inlineStr">
        <is>
          <t>830116500</t>
        </is>
      </c>
      <c r="B42" t="inlineStr">
        <is>
          <t>899363</t>
        </is>
      </c>
      <c r="C42" t="inlineStr">
        <is>
          <t>15068232</t>
        </is>
      </c>
      <c r="D42" t="n">
        <v>653867</v>
      </c>
      <c r="E42" t="inlineStr">
        <is>
          <t>AEROVIAS DEL CONTINENTE AMERICANO, S.A. AVIANCA - COLOMBIA</t>
        </is>
      </c>
    </row>
    <row r="43">
      <c r="A43" t="inlineStr">
        <is>
          <t>830116500</t>
        </is>
      </c>
      <c r="B43" t="inlineStr">
        <is>
          <t>11359</t>
        </is>
      </c>
      <c r="C43" t="inlineStr">
        <is>
          <t>15073443</t>
        </is>
      </c>
      <c r="D43" t="n">
        <v>29600</v>
      </c>
      <c r="E43" t="inlineStr">
        <is>
          <t>FRISBY S.A. BIC</t>
        </is>
      </c>
    </row>
    <row r="44">
      <c r="A44" t="inlineStr">
        <is>
          <t>830116500</t>
        </is>
      </c>
      <c r="B44" t="inlineStr">
        <is>
          <t>2790</t>
        </is>
      </c>
      <c r="C44" t="inlineStr">
        <is>
          <t>15111</t>
        </is>
      </c>
      <c r="D44" t="n">
        <v>33000</v>
      </c>
      <c r="E44" t="inlineStr">
        <is>
          <t>OVIEDO DE CASTILLO MARIA ESPERANZA</t>
        </is>
      </c>
    </row>
    <row r="45">
      <c r="A45" t="inlineStr">
        <is>
          <t>830116500</t>
        </is>
      </c>
      <c r="B45" t="inlineStr">
        <is>
          <t>710</t>
        </is>
      </c>
      <c r="C45" t="inlineStr">
        <is>
          <t>15159</t>
        </is>
      </c>
      <c r="D45" t="n">
        <v>3311550</v>
      </c>
      <c r="E45" t="inlineStr">
        <is>
          <t>INVERSIONES OLPER S.A.S.</t>
        </is>
      </c>
    </row>
    <row r="46">
      <c r="A46" t="inlineStr">
        <is>
          <t>830116500</t>
        </is>
      </c>
      <c r="B46" t="inlineStr">
        <is>
          <t>26812</t>
        </is>
      </c>
      <c r="C46" t="inlineStr">
        <is>
          <t>15252</t>
        </is>
      </c>
      <c r="D46" t="n">
        <v>1942500</v>
      </c>
      <c r="E46" t="inlineStr">
        <is>
          <t>INVERSIONES OLPER S.A.S.</t>
        </is>
      </c>
    </row>
    <row r="47">
      <c r="A47" t="inlineStr">
        <is>
          <t>830116500</t>
        </is>
      </c>
      <c r="B47" t="inlineStr">
        <is>
          <t>1504807</t>
        </is>
      </c>
      <c r="C47" t="inlineStr">
        <is>
          <t>15320816</t>
        </is>
      </c>
      <c r="D47" t="n">
        <v>775751</v>
      </c>
      <c r="E47" t="inlineStr">
        <is>
          <t>AEROVIAS DEL CONTINENTE AMERICANO, S.A. AVIANCA - COLOMBIA</t>
        </is>
      </c>
    </row>
    <row r="48">
      <c r="A48" t="inlineStr">
        <is>
          <t>830116500</t>
        </is>
      </c>
      <c r="B48" t="inlineStr">
        <is>
          <t>155084</t>
        </is>
      </c>
      <c r="C48" t="inlineStr">
        <is>
          <t>15320817</t>
        </is>
      </c>
      <c r="D48" t="n">
        <v>59024</v>
      </c>
      <c r="E48" t="inlineStr">
        <is>
          <t>AEROVIAS DEL CONTINENTE AMERICANO, S.A. AVIANCA - COLOMBIA</t>
        </is>
      </c>
    </row>
    <row r="49">
      <c r="A49" t="inlineStr">
        <is>
          <t>830116500</t>
        </is>
      </c>
      <c r="B49" t="inlineStr">
        <is>
          <t>8225356</t>
        </is>
      </c>
      <c r="C49" t="inlineStr">
        <is>
          <t>155084</t>
        </is>
      </c>
      <c r="D49" t="n">
        <v>56110</v>
      </c>
      <c r="E49" t="inlineStr">
        <is>
          <t>ARDILA GROUP SAS</t>
        </is>
      </c>
    </row>
    <row r="50">
      <c r="A50" t="inlineStr">
        <is>
          <t>830116500</t>
        </is>
      </c>
      <c r="B50" t="inlineStr">
        <is>
          <t>26812</t>
        </is>
      </c>
      <c r="C50" t="inlineStr">
        <is>
          <t>15532862</t>
        </is>
      </c>
      <c r="D50" t="n">
        <v>501285</v>
      </c>
      <c r="E50" t="inlineStr">
        <is>
          <t>AEROVIAS DEL CONTINENTE AMERICANO, S.A. AVIANCA - COLOMBIA</t>
        </is>
      </c>
    </row>
    <row r="51">
      <c r="A51" t="inlineStr">
        <is>
          <t>830116500</t>
        </is>
      </c>
      <c r="B51" t="inlineStr">
        <is>
          <t>26812</t>
        </is>
      </c>
      <c r="C51" t="inlineStr">
        <is>
          <t>15533265</t>
        </is>
      </c>
      <c r="D51" t="n">
        <v>456712</v>
      </c>
      <c r="E51" t="inlineStr">
        <is>
          <t>AEROVIAS DEL CONTINENTE AMERICANO, S.A. AVIANCA - COLOMBIA</t>
        </is>
      </c>
    </row>
    <row r="52">
      <c r="A52" t="inlineStr">
        <is>
          <t>830116500</t>
        </is>
      </c>
      <c r="B52" t="inlineStr">
        <is>
          <t>563660</t>
        </is>
      </c>
      <c r="C52" t="inlineStr">
        <is>
          <t>1556</t>
        </is>
      </c>
      <c r="D52" t="n">
        <v>14400</v>
      </c>
      <c r="E52" t="inlineStr">
        <is>
          <t>KARREFRUT</t>
        </is>
      </c>
    </row>
    <row r="53">
      <c r="A53" t="inlineStr">
        <is>
          <t>830116500</t>
        </is>
      </c>
      <c r="B53" t="inlineStr">
        <is>
          <t>2790</t>
        </is>
      </c>
      <c r="C53" t="inlineStr">
        <is>
          <t>15575721</t>
        </is>
      </c>
      <c r="D53" t="n">
        <v>446845</v>
      </c>
      <c r="E53" t="inlineStr">
        <is>
          <t>AEROVIAS DEL CONTINENTE AMERICANO, S.A. AVIANCA - COLOMBIA</t>
        </is>
      </c>
    </row>
    <row r="54">
      <c r="A54" t="inlineStr">
        <is>
          <t>830116500</t>
        </is>
      </c>
      <c r="B54" t="inlineStr">
        <is>
          <t>21215</t>
        </is>
      </c>
      <c r="C54" t="inlineStr">
        <is>
          <t>15575722</t>
        </is>
      </c>
      <c r="D54" t="n">
        <v>120000</v>
      </c>
      <c r="E54" t="inlineStr">
        <is>
          <t>AEROVIAS DEL CONTINENTE AMERICANO, S.A. AVIANCA - COLOMBIA</t>
        </is>
      </c>
    </row>
    <row r="55">
      <c r="A55" t="inlineStr">
        <is>
          <t>830116500</t>
        </is>
      </c>
      <c r="B55" t="inlineStr">
        <is>
          <t>9646</t>
        </is>
      </c>
      <c r="C55" t="inlineStr">
        <is>
          <t>15575727</t>
        </is>
      </c>
      <c r="D55" t="n">
        <v>387930</v>
      </c>
      <c r="E55" t="inlineStr">
        <is>
          <t>AEROVIAS DEL CONTINENTE AMERICANO, S.A. AVIANCA - COLOMBIA</t>
        </is>
      </c>
    </row>
    <row r="56">
      <c r="A56" t="inlineStr">
        <is>
          <t>830116500</t>
        </is>
      </c>
      <c r="B56" t="inlineStr">
        <is>
          <t>485540321</t>
        </is>
      </c>
      <c r="C56" t="inlineStr">
        <is>
          <t>15575731</t>
        </is>
      </c>
      <c r="D56" t="n">
        <v>568425</v>
      </c>
      <c r="E56" t="inlineStr">
        <is>
          <t>AEROVIAS DEL CONTINENTE AMERICANO, S.A. AVIANCA - COLOMBIA</t>
        </is>
      </c>
    </row>
    <row r="57">
      <c r="A57" t="inlineStr">
        <is>
          <t>830116500</t>
        </is>
      </c>
      <c r="B57" t="inlineStr">
        <is>
          <t>13680544</t>
        </is>
      </c>
      <c r="C57" t="inlineStr">
        <is>
          <t>15622409</t>
        </is>
      </c>
      <c r="D57" t="n">
        <v>607100</v>
      </c>
      <c r="E57" t="inlineStr">
        <is>
          <t>AEROVIAS DEL CONTINENTE AMERICANO, S.A. AVIANCA - COLOMBIA</t>
        </is>
      </c>
    </row>
    <row r="58">
      <c r="A58" t="inlineStr">
        <is>
          <t>830116500</t>
        </is>
      </c>
      <c r="B58" t="inlineStr">
        <is>
          <t>27</t>
        </is>
      </c>
      <c r="C58" t="inlineStr">
        <is>
          <t>15664280</t>
        </is>
      </c>
      <c r="D58" t="n">
        <v>360560</v>
      </c>
      <c r="E58" t="inlineStr">
        <is>
          <t>AEROVIAS DEL CONTINENTE AMERICANO, S.A. AVIANCA - COLOMBIA</t>
        </is>
      </c>
    </row>
    <row r="59">
      <c r="A59" t="inlineStr">
        <is>
          <t>830116500</t>
        </is>
      </c>
      <c r="B59" t="inlineStr">
        <is>
          <t>15159</t>
        </is>
      </c>
      <c r="C59" t="inlineStr">
        <is>
          <t>15664282</t>
        </is>
      </c>
      <c r="D59" t="n">
        <v>513209</v>
      </c>
      <c r="E59" t="inlineStr">
        <is>
          <t>AEROVIAS DEL CONTINENTE AMERICANO, S.A. AVIANCA - COLOMBIA</t>
        </is>
      </c>
    </row>
    <row r="60">
      <c r="A60" t="inlineStr">
        <is>
          <t>800006079</t>
        </is>
      </c>
      <c r="B60" t="inlineStr">
        <is>
          <t>421790</t>
        </is>
      </c>
      <c r="C60" t="inlineStr">
        <is>
          <t>1570</t>
        </is>
      </c>
      <c r="D60" t="n">
        <v>160000</v>
      </c>
      <c r="E60" t="inlineStr">
        <is>
          <t>MERIDIAN CONSULTING LTDA</t>
        </is>
      </c>
    </row>
    <row r="61">
      <c r="A61" t="inlineStr">
        <is>
          <t>800006079</t>
        </is>
      </c>
      <c r="B61" t="inlineStr">
        <is>
          <t>421790</t>
        </is>
      </c>
      <c r="C61" t="inlineStr">
        <is>
          <t>1570</t>
        </is>
      </c>
      <c r="D61" t="n">
        <v>160000</v>
      </c>
      <c r="E61" t="inlineStr">
        <is>
          <t>MERIDIAN CONSULTING LTDA</t>
        </is>
      </c>
    </row>
    <row r="62">
      <c r="A62" t="inlineStr">
        <is>
          <t>830116500</t>
        </is>
      </c>
      <c r="B62" t="inlineStr">
        <is>
          <t>26813</t>
        </is>
      </c>
      <c r="C62" t="inlineStr">
        <is>
          <t>15704634</t>
        </is>
      </c>
      <c r="D62" t="n">
        <v>745406</v>
      </c>
      <c r="E62" t="inlineStr">
        <is>
          <t>AEROVIAS DEL CONTINENTE AMERICANO, S.A. AVIANCA - COLOMBIA</t>
        </is>
      </c>
    </row>
    <row r="63">
      <c r="A63" t="inlineStr">
        <is>
          <t>1116544724</t>
        </is>
      </c>
      <c r="B63" t="inlineStr">
        <is>
          <t>493</t>
        </is>
      </c>
      <c r="C63" t="inlineStr">
        <is>
          <t>1571</t>
        </is>
      </c>
      <c r="D63" t="n">
        <v>18000</v>
      </c>
      <c r="E63" t="inlineStr">
        <is>
          <t>MERIDIAN CONSULTING LTDA</t>
        </is>
      </c>
    </row>
    <row r="64">
      <c r="A64" t="inlineStr">
        <is>
          <t>1116544724</t>
        </is>
      </c>
      <c r="B64" t="inlineStr">
        <is>
          <t>493</t>
        </is>
      </c>
      <c r="C64" t="inlineStr">
        <is>
          <t>1571</t>
        </is>
      </c>
      <c r="D64" t="n">
        <v>18000</v>
      </c>
      <c r="E64" t="inlineStr">
        <is>
          <t>MERIDIAN CONSULTING LTDA</t>
        </is>
      </c>
    </row>
    <row r="65">
      <c r="A65" t="inlineStr">
        <is>
          <t>1010174163</t>
        </is>
      </c>
      <c r="B65" t="inlineStr">
        <is>
          <t>20250926</t>
        </is>
      </c>
      <c r="C65" t="inlineStr">
        <is>
          <t>1572</t>
        </is>
      </c>
      <c r="D65" t="n">
        <v>27700</v>
      </c>
      <c r="E65" t="inlineStr">
        <is>
          <t>MERIDIAN CONSULTING LTDA</t>
        </is>
      </c>
    </row>
    <row r="66">
      <c r="A66" t="inlineStr">
        <is>
          <t>1010174163</t>
        </is>
      </c>
      <c r="B66" t="inlineStr">
        <is>
          <t>20250926</t>
        </is>
      </c>
      <c r="C66" t="inlineStr">
        <is>
          <t>1572</t>
        </is>
      </c>
      <c r="D66" t="n">
        <v>27700</v>
      </c>
      <c r="E66" t="inlineStr">
        <is>
          <t>MERIDIAN CONSULTING LTDA</t>
        </is>
      </c>
    </row>
    <row r="67">
      <c r="A67" t="inlineStr">
        <is>
          <t>79781231</t>
        </is>
      </c>
      <c r="B67" t="inlineStr">
        <is>
          <t>3104</t>
        </is>
      </c>
      <c r="C67" t="inlineStr">
        <is>
          <t>1573</t>
        </is>
      </c>
      <c r="D67" t="n">
        <v>30000</v>
      </c>
      <c r="E67" t="inlineStr">
        <is>
          <t>MERIDIAN CONSULTING LTDA</t>
        </is>
      </c>
    </row>
    <row r="68">
      <c r="A68" t="inlineStr">
        <is>
          <t>79781231</t>
        </is>
      </c>
      <c r="B68" t="inlineStr">
        <is>
          <t>3104</t>
        </is>
      </c>
      <c r="C68" t="inlineStr">
        <is>
          <t>1573</t>
        </is>
      </c>
      <c r="D68" t="n">
        <v>30000</v>
      </c>
      <c r="E68" t="inlineStr">
        <is>
          <t>MERIDIAN CONSULTING LTDA</t>
        </is>
      </c>
    </row>
    <row r="69">
      <c r="A69" t="inlineStr">
        <is>
          <t>33625192</t>
        </is>
      </c>
      <c r="B69" t="inlineStr">
        <is>
          <t>4122</t>
        </is>
      </c>
      <c r="C69" t="inlineStr">
        <is>
          <t>1574</t>
        </is>
      </c>
      <c r="D69" t="n">
        <v>20000</v>
      </c>
      <c r="E69" t="inlineStr">
        <is>
          <t>MERIDIAN CONSULTING LTDA</t>
        </is>
      </c>
    </row>
    <row r="70">
      <c r="A70" t="inlineStr">
        <is>
          <t>33625192</t>
        </is>
      </c>
      <c r="B70" t="inlineStr">
        <is>
          <t>4122</t>
        </is>
      </c>
      <c r="C70" t="inlineStr">
        <is>
          <t>1574</t>
        </is>
      </c>
      <c r="D70" t="n">
        <v>20000</v>
      </c>
      <c r="E70" t="inlineStr">
        <is>
          <t>MERIDIAN CONSULTING LTDA</t>
        </is>
      </c>
    </row>
    <row r="71">
      <c r="A71" t="inlineStr">
        <is>
          <t>1002760683</t>
        </is>
      </c>
      <c r="B71" t="inlineStr">
        <is>
          <t>17</t>
        </is>
      </c>
      <c r="C71" t="inlineStr">
        <is>
          <t>1575</t>
        </is>
      </c>
      <c r="D71" t="n">
        <v>19800</v>
      </c>
      <c r="E71" t="inlineStr">
        <is>
          <t>MERIDIAN CONSULTING LTDA</t>
        </is>
      </c>
    </row>
    <row r="72">
      <c r="A72" t="inlineStr">
        <is>
          <t>1002760683</t>
        </is>
      </c>
      <c r="B72" t="inlineStr">
        <is>
          <t>17</t>
        </is>
      </c>
      <c r="C72" t="inlineStr">
        <is>
          <t>1575</t>
        </is>
      </c>
      <c r="D72" t="n">
        <v>19800</v>
      </c>
      <c r="E72" t="inlineStr">
        <is>
          <t>MERIDIAN CONSULTING LTDA</t>
        </is>
      </c>
    </row>
    <row r="73">
      <c r="A73" t="inlineStr">
        <is>
          <t>1038406911</t>
        </is>
      </c>
      <c r="B73" t="inlineStr">
        <is>
          <t>929</t>
        </is>
      </c>
      <c r="C73" t="inlineStr">
        <is>
          <t>1576</t>
        </is>
      </c>
      <c r="D73" t="n">
        <v>100000</v>
      </c>
      <c r="E73" t="inlineStr">
        <is>
          <t>MERIDIAN CONSULTING LTDA</t>
        </is>
      </c>
    </row>
    <row r="74">
      <c r="A74" t="inlineStr">
        <is>
          <t>1038406911</t>
        </is>
      </c>
      <c r="B74" t="inlineStr">
        <is>
          <t>929</t>
        </is>
      </c>
      <c r="C74" t="inlineStr">
        <is>
          <t>1576</t>
        </is>
      </c>
      <c r="D74" t="n">
        <v>100000</v>
      </c>
      <c r="E74" t="inlineStr">
        <is>
          <t>MERIDIAN CONSULTING LTDA</t>
        </is>
      </c>
    </row>
    <row r="75">
      <c r="A75" t="inlineStr">
        <is>
          <t>1118203801</t>
        </is>
      </c>
      <c r="B75" t="inlineStr">
        <is>
          <t>112</t>
        </is>
      </c>
      <c r="C75" t="inlineStr">
        <is>
          <t>1577</t>
        </is>
      </c>
      <c r="D75" t="n">
        <v>30000</v>
      </c>
      <c r="E75" t="inlineStr">
        <is>
          <t>MERIDIAN CONSULTING LTDA</t>
        </is>
      </c>
    </row>
    <row r="76">
      <c r="A76" t="inlineStr">
        <is>
          <t>1118203801</t>
        </is>
      </c>
      <c r="B76" t="inlineStr">
        <is>
          <t>112</t>
        </is>
      </c>
      <c r="C76" t="inlineStr">
        <is>
          <t>1577</t>
        </is>
      </c>
      <c r="D76" t="n">
        <v>30000</v>
      </c>
      <c r="E76" t="inlineStr">
        <is>
          <t>MERIDIAN CONSULTING LTDA</t>
        </is>
      </c>
    </row>
    <row r="77">
      <c r="A77" t="inlineStr">
        <is>
          <t>1115914557</t>
        </is>
      </c>
      <c r="B77" t="inlineStr">
        <is>
          <t>279</t>
        </is>
      </c>
      <c r="C77" t="inlineStr">
        <is>
          <t>1578</t>
        </is>
      </c>
      <c r="D77" t="n">
        <v>17000</v>
      </c>
      <c r="E77" t="inlineStr">
        <is>
          <t>MERIDIAN CONSULTING LTDA</t>
        </is>
      </c>
    </row>
    <row r="78">
      <c r="A78" t="inlineStr">
        <is>
          <t>1115914557</t>
        </is>
      </c>
      <c r="B78" t="inlineStr">
        <is>
          <t>279</t>
        </is>
      </c>
      <c r="C78" t="inlineStr">
        <is>
          <t>1578</t>
        </is>
      </c>
      <c r="D78" t="n">
        <v>17000</v>
      </c>
      <c r="E78" t="inlineStr">
        <is>
          <t>MERIDIAN CONSULTING LTDA</t>
        </is>
      </c>
    </row>
    <row r="79">
      <c r="A79" t="inlineStr">
        <is>
          <t>72162570</t>
        </is>
      </c>
      <c r="B79" t="inlineStr">
        <is>
          <t>3531</t>
        </is>
      </c>
      <c r="C79" t="inlineStr">
        <is>
          <t>1579</t>
        </is>
      </c>
      <c r="D79" t="n">
        <v>32000</v>
      </c>
      <c r="E79" t="inlineStr">
        <is>
          <t>MERIDIAN CONSULTING LTDA</t>
        </is>
      </c>
    </row>
    <row r="80">
      <c r="A80" t="inlineStr">
        <is>
          <t>72162570</t>
        </is>
      </c>
      <c r="B80" t="inlineStr">
        <is>
          <t>3531</t>
        </is>
      </c>
      <c r="C80" t="inlineStr">
        <is>
          <t>1579</t>
        </is>
      </c>
      <c r="D80" t="n">
        <v>32000</v>
      </c>
      <c r="E80" t="inlineStr">
        <is>
          <t>MERIDIAN CONSULTING LTDA</t>
        </is>
      </c>
    </row>
    <row r="81">
      <c r="A81" t="inlineStr">
        <is>
          <t>1118123812</t>
        </is>
      </c>
      <c r="B81" t="inlineStr">
        <is>
          <t>1726</t>
        </is>
      </c>
      <c r="C81" t="inlineStr">
        <is>
          <t>1580</t>
        </is>
      </c>
      <c r="D81" t="n">
        <v>31000</v>
      </c>
      <c r="E81" t="inlineStr">
        <is>
          <t>MERIDIAN CONSULTING LTDA</t>
        </is>
      </c>
    </row>
    <row r="82">
      <c r="A82" t="inlineStr">
        <is>
          <t>1118123812</t>
        </is>
      </c>
      <c r="B82" t="inlineStr">
        <is>
          <t>1726</t>
        </is>
      </c>
      <c r="C82" t="inlineStr">
        <is>
          <t>1580</t>
        </is>
      </c>
      <c r="D82" t="n">
        <v>31000</v>
      </c>
      <c r="E82" t="inlineStr">
        <is>
          <t>MERIDIAN CONSULTING LTDA</t>
        </is>
      </c>
    </row>
    <row r="83">
      <c r="A83" t="inlineStr">
        <is>
          <t>1118123812</t>
        </is>
      </c>
      <c r="B83" t="inlineStr">
        <is>
          <t>1726</t>
        </is>
      </c>
      <c r="C83" t="inlineStr">
        <is>
          <t>1580</t>
        </is>
      </c>
      <c r="D83" t="n">
        <v>31000</v>
      </c>
      <c r="E83" t="inlineStr">
        <is>
          <t>MERIDIAN CONSULTING LTDA</t>
        </is>
      </c>
    </row>
    <row r="84">
      <c r="A84" t="inlineStr">
        <is>
          <t>860002566</t>
        </is>
      </c>
      <c r="B84" t="inlineStr">
        <is>
          <t>11894</t>
        </is>
      </c>
      <c r="C84" t="inlineStr">
        <is>
          <t>1581</t>
        </is>
      </c>
      <c r="D84" t="n">
        <v>35000</v>
      </c>
      <c r="E84" t="inlineStr">
        <is>
          <t>MERIDIAN CONSULTING LTDA</t>
        </is>
      </c>
    </row>
    <row r="85">
      <c r="A85" t="inlineStr">
        <is>
          <t>860002566</t>
        </is>
      </c>
      <c r="B85" t="inlineStr">
        <is>
          <t>11894</t>
        </is>
      </c>
      <c r="C85" t="inlineStr">
        <is>
          <t>1581</t>
        </is>
      </c>
      <c r="D85" t="n">
        <v>35000</v>
      </c>
      <c r="E85" t="inlineStr">
        <is>
          <t>MERIDIAN CONSULTING LTDA</t>
        </is>
      </c>
    </row>
    <row r="86">
      <c r="A86" t="inlineStr">
        <is>
          <t>17308340</t>
        </is>
      </c>
      <c r="B86" t="inlineStr">
        <is>
          <t>2</t>
        </is>
      </c>
      <c r="C86" t="inlineStr">
        <is>
          <t>1582</t>
        </is>
      </c>
      <c r="D86" t="n">
        <v>150000</v>
      </c>
      <c r="E86" t="inlineStr">
        <is>
          <t>MERIDIAN CONSULTING LTDA</t>
        </is>
      </c>
    </row>
    <row r="87">
      <c r="A87" t="inlineStr">
        <is>
          <t>17308340</t>
        </is>
      </c>
      <c r="B87" t="inlineStr">
        <is>
          <t>2</t>
        </is>
      </c>
      <c r="C87" t="inlineStr">
        <is>
          <t>1582</t>
        </is>
      </c>
      <c r="D87" t="n">
        <v>150000</v>
      </c>
      <c r="E87" t="inlineStr">
        <is>
          <t>MERIDIAN CONSULTING LTDA</t>
        </is>
      </c>
    </row>
    <row r="88">
      <c r="A88" t="inlineStr">
        <is>
          <t>17308340</t>
        </is>
      </c>
      <c r="B88" t="inlineStr">
        <is>
          <t>2</t>
        </is>
      </c>
      <c r="C88" t="inlineStr">
        <is>
          <t>1582</t>
        </is>
      </c>
      <c r="D88" t="n">
        <v>150000</v>
      </c>
      <c r="E88" t="inlineStr">
        <is>
          <t>MERIDIAN CONSULTING LTDA</t>
        </is>
      </c>
    </row>
    <row r="89">
      <c r="A89" t="inlineStr">
        <is>
          <t>830119100</t>
        </is>
      </c>
      <c r="B89" t="inlineStr">
        <is>
          <t>10311</t>
        </is>
      </c>
      <c r="C89" t="inlineStr">
        <is>
          <t>1583</t>
        </is>
      </c>
      <c r="D89" t="n">
        <v>2459700</v>
      </c>
      <c r="E89" t="inlineStr">
        <is>
          <t>MERIDIAN CONSULTING LTDA</t>
        </is>
      </c>
    </row>
    <row r="90">
      <c r="A90" t="inlineStr">
        <is>
          <t>830119100</t>
        </is>
      </c>
      <c r="B90" t="inlineStr">
        <is>
          <t>10311</t>
        </is>
      </c>
      <c r="C90" t="inlineStr">
        <is>
          <t>1583</t>
        </is>
      </c>
      <c r="D90" t="n">
        <v>2459700</v>
      </c>
      <c r="E90" t="inlineStr">
        <is>
          <t>MERIDIAN CONSULTING LTDA</t>
        </is>
      </c>
    </row>
    <row r="91">
      <c r="A91" t="inlineStr">
        <is>
          <t>830119100</t>
        </is>
      </c>
      <c r="B91" t="inlineStr">
        <is>
          <t>10311</t>
        </is>
      </c>
      <c r="C91" t="inlineStr">
        <is>
          <t>1583</t>
        </is>
      </c>
      <c r="D91" t="n">
        <v>2459700</v>
      </c>
      <c r="E91" t="inlineStr">
        <is>
          <t>MERIDIAN CONSULTING LTDA</t>
        </is>
      </c>
    </row>
    <row r="92">
      <c r="A92" t="inlineStr">
        <is>
          <t>860513343</t>
        </is>
      </c>
      <c r="B92" t="inlineStr">
        <is>
          <t>2708</t>
        </is>
      </c>
      <c r="C92" t="inlineStr">
        <is>
          <t>1584</t>
        </is>
      </c>
      <c r="D92" t="n">
        <v>4416000</v>
      </c>
      <c r="E92" t="inlineStr">
        <is>
          <t>MERIDIAN CONSULTING LTDA</t>
        </is>
      </c>
    </row>
    <row r="93">
      <c r="A93" t="inlineStr">
        <is>
          <t>860513343</t>
        </is>
      </c>
      <c r="B93" t="inlineStr">
        <is>
          <t>2708</t>
        </is>
      </c>
      <c r="C93" t="inlineStr">
        <is>
          <t>1584</t>
        </is>
      </c>
      <c r="D93" t="n">
        <v>4416000</v>
      </c>
      <c r="E93" t="inlineStr">
        <is>
          <t>MERIDIAN CONSULTING LTDA</t>
        </is>
      </c>
    </row>
    <row r="94">
      <c r="A94" t="inlineStr">
        <is>
          <t>860513343</t>
        </is>
      </c>
      <c r="B94" t="inlineStr">
        <is>
          <t>2708</t>
        </is>
      </c>
      <c r="C94" t="inlineStr">
        <is>
          <t>1584</t>
        </is>
      </c>
      <c r="D94" t="n">
        <v>4416000</v>
      </c>
      <c r="E94" t="inlineStr">
        <is>
          <t>MERIDIAN CONSULTING LTDA</t>
        </is>
      </c>
    </row>
    <row r="95">
      <c r="A95" t="inlineStr">
        <is>
          <t>30337917</t>
        </is>
      </c>
      <c r="B95" t="inlineStr">
        <is>
          <t>1</t>
        </is>
      </c>
      <c r="C95" t="inlineStr">
        <is>
          <t>1585</t>
        </is>
      </c>
      <c r="D95" t="n">
        <v>3339045</v>
      </c>
      <c r="E95" t="inlineStr">
        <is>
          <t>MERIDIAN CONSULTING LTDA</t>
        </is>
      </c>
    </row>
    <row r="96">
      <c r="A96" t="inlineStr">
        <is>
          <t>30337917</t>
        </is>
      </c>
      <c r="B96" t="inlineStr">
        <is>
          <t>1</t>
        </is>
      </c>
      <c r="C96" t="inlineStr">
        <is>
          <t>1585</t>
        </is>
      </c>
      <c r="D96" t="n">
        <v>3339045</v>
      </c>
      <c r="E96" t="inlineStr">
        <is>
          <t>MERIDIAN CONSULTING LTDA</t>
        </is>
      </c>
    </row>
    <row r="97">
      <c r="A97" t="inlineStr">
        <is>
          <t>30337917</t>
        </is>
      </c>
      <c r="B97" t="inlineStr">
        <is>
          <t>1</t>
        </is>
      </c>
      <c r="C97" t="inlineStr">
        <is>
          <t>1585</t>
        </is>
      </c>
      <c r="D97" t="n">
        <v>3339045</v>
      </c>
      <c r="E97" t="inlineStr">
        <is>
          <t>MERIDIAN CONSULTING LTDA</t>
        </is>
      </c>
    </row>
    <row r="98">
      <c r="A98" t="inlineStr">
        <is>
          <t>30337917</t>
        </is>
      </c>
      <c r="B98" t="inlineStr">
        <is>
          <t>1</t>
        </is>
      </c>
      <c r="C98" t="inlineStr">
        <is>
          <t>1585</t>
        </is>
      </c>
      <c r="D98" t="n">
        <v>3339045</v>
      </c>
      <c r="E98" t="inlineStr">
        <is>
          <t>MERIDIAN CONSULTING LTDA</t>
        </is>
      </c>
    </row>
    <row r="99">
      <c r="A99" t="inlineStr">
        <is>
          <t>53006521</t>
        </is>
      </c>
      <c r="B99" t="inlineStr">
        <is>
          <t>1102025</t>
        </is>
      </c>
      <c r="C99" t="inlineStr">
        <is>
          <t>1586</t>
        </is>
      </c>
      <c r="D99" t="n">
        <v>100000</v>
      </c>
      <c r="E99" t="inlineStr">
        <is>
          <t>MERIDIAN CONSULTING LTDA</t>
        </is>
      </c>
    </row>
    <row r="100">
      <c r="A100" t="inlineStr">
        <is>
          <t>53006521</t>
        </is>
      </c>
      <c r="B100" t="inlineStr">
        <is>
          <t>1102025</t>
        </is>
      </c>
      <c r="C100" t="inlineStr">
        <is>
          <t>1586</t>
        </is>
      </c>
      <c r="D100" t="n">
        <v>100000</v>
      </c>
      <c r="E100" t="inlineStr">
        <is>
          <t>MERIDIAN CONSULTING LTDA</t>
        </is>
      </c>
    </row>
    <row r="101">
      <c r="A101" t="inlineStr">
        <is>
          <t>79602426</t>
        </is>
      </c>
      <c r="B101" t="inlineStr">
        <is>
          <t>21908</t>
        </is>
      </c>
      <c r="C101" t="inlineStr">
        <is>
          <t>1587</t>
        </is>
      </c>
      <c r="D101" t="n">
        <v>36410</v>
      </c>
      <c r="E101" t="inlineStr">
        <is>
          <t>MERIDIAN CONSULTING LTDA</t>
        </is>
      </c>
    </row>
    <row r="102">
      <c r="A102" t="inlineStr">
        <is>
          <t>79602426</t>
        </is>
      </c>
      <c r="B102" t="inlineStr">
        <is>
          <t>21908</t>
        </is>
      </c>
      <c r="C102" t="inlineStr">
        <is>
          <t>1587</t>
        </is>
      </c>
      <c r="D102" t="n">
        <v>36410</v>
      </c>
      <c r="E102" t="inlineStr">
        <is>
          <t>MERIDIAN CONSULTING LTDA</t>
        </is>
      </c>
    </row>
    <row r="103">
      <c r="A103" t="inlineStr">
        <is>
          <t>860503560</t>
        </is>
      </c>
      <c r="B103" t="inlineStr">
        <is>
          <t>76719</t>
        </is>
      </c>
      <c r="C103" t="inlineStr">
        <is>
          <t>1588</t>
        </is>
      </c>
      <c r="D103" t="n">
        <v>26350.17</v>
      </c>
      <c r="E103" t="inlineStr">
        <is>
          <t>MERIDIAN CONSULTING LTDA</t>
        </is>
      </c>
    </row>
    <row r="104">
      <c r="A104" t="inlineStr">
        <is>
          <t>860503560</t>
        </is>
      </c>
      <c r="B104" t="inlineStr">
        <is>
          <t>76719</t>
        </is>
      </c>
      <c r="C104" t="inlineStr">
        <is>
          <t>1588</t>
        </is>
      </c>
      <c r="D104" t="n">
        <v>26350.17</v>
      </c>
      <c r="E104" t="inlineStr">
        <is>
          <t>MERIDIAN CONSULTING LTDA</t>
        </is>
      </c>
    </row>
    <row r="105">
      <c r="A105" t="inlineStr">
        <is>
          <t>860503560</t>
        </is>
      </c>
      <c r="B105" t="inlineStr">
        <is>
          <t>76719</t>
        </is>
      </c>
      <c r="C105" t="inlineStr">
        <is>
          <t>1588</t>
        </is>
      </c>
      <c r="D105" t="n">
        <v>26350.17</v>
      </c>
      <c r="E105" t="inlineStr">
        <is>
          <t>MERIDIAN CONSULTING LTDA</t>
        </is>
      </c>
    </row>
    <row r="106">
      <c r="A106" t="inlineStr">
        <is>
          <t>52039845</t>
        </is>
      </c>
      <c r="B106" t="inlineStr">
        <is>
          <t>5</t>
        </is>
      </c>
      <c r="C106" t="inlineStr">
        <is>
          <t>1589</t>
        </is>
      </c>
      <c r="D106" t="n">
        <v>22500</v>
      </c>
      <c r="E106" t="inlineStr">
        <is>
          <t>MERIDIAN CONSULTING LTDA</t>
        </is>
      </c>
    </row>
    <row r="107">
      <c r="A107" t="inlineStr">
        <is>
          <t>52039845</t>
        </is>
      </c>
      <c r="B107" t="inlineStr">
        <is>
          <t>5</t>
        </is>
      </c>
      <c r="C107" t="inlineStr">
        <is>
          <t>1589</t>
        </is>
      </c>
      <c r="D107" t="n">
        <v>22500</v>
      </c>
      <c r="E107" t="inlineStr">
        <is>
          <t>MERIDIAN CONSULTING LTDA</t>
        </is>
      </c>
    </row>
    <row r="108">
      <c r="A108" t="inlineStr">
        <is>
          <t>52039845</t>
        </is>
      </c>
      <c r="B108" t="inlineStr">
        <is>
          <t>5</t>
        </is>
      </c>
      <c r="C108" t="inlineStr">
        <is>
          <t>1589</t>
        </is>
      </c>
      <c r="D108" t="n">
        <v>22500</v>
      </c>
      <c r="E108" t="inlineStr">
        <is>
          <t>MERIDIAN CONSULTING LTDA</t>
        </is>
      </c>
    </row>
    <row r="109">
      <c r="A109" t="inlineStr">
        <is>
          <t>52717786</t>
        </is>
      </c>
      <c r="B109" t="inlineStr">
        <is>
          <t>2025001</t>
        </is>
      </c>
      <c r="C109" t="inlineStr">
        <is>
          <t>1590</t>
        </is>
      </c>
      <c r="D109" t="n">
        <v>500000</v>
      </c>
      <c r="E109" t="inlineStr">
        <is>
          <t>MERIDIAN CONSULTING LTDA</t>
        </is>
      </c>
    </row>
    <row r="110">
      <c r="A110" t="inlineStr">
        <is>
          <t>52717786</t>
        </is>
      </c>
      <c r="B110" t="inlineStr">
        <is>
          <t>2025001</t>
        </is>
      </c>
      <c r="C110" t="inlineStr">
        <is>
          <t>1590</t>
        </is>
      </c>
      <c r="D110" t="n">
        <v>500000</v>
      </c>
      <c r="E110" t="inlineStr">
        <is>
          <t>MERIDIAN CONSULTING LTDA</t>
        </is>
      </c>
    </row>
    <row r="111">
      <c r="A111" t="inlineStr">
        <is>
          <t>52717786</t>
        </is>
      </c>
      <c r="B111" t="inlineStr">
        <is>
          <t>2025001</t>
        </is>
      </c>
      <c r="C111" t="inlineStr">
        <is>
          <t>1590</t>
        </is>
      </c>
      <c r="D111" t="n">
        <v>500000</v>
      </c>
      <c r="E111" t="inlineStr">
        <is>
          <t>MERIDIAN CONSULTING LTDA</t>
        </is>
      </c>
    </row>
    <row r="112">
      <c r="A112" t="inlineStr">
        <is>
          <t>1026584445</t>
        </is>
      </c>
      <c r="B112" t="inlineStr">
        <is>
          <t>4045</t>
        </is>
      </c>
      <c r="C112" t="inlineStr">
        <is>
          <t>1591</t>
        </is>
      </c>
      <c r="D112" t="n">
        <v>109000</v>
      </c>
      <c r="E112" t="inlineStr">
        <is>
          <t>MERIDIAN CONSULTING LTDA</t>
        </is>
      </c>
    </row>
    <row r="113">
      <c r="A113" t="inlineStr">
        <is>
          <t>1026584445</t>
        </is>
      </c>
      <c r="B113" t="inlineStr">
        <is>
          <t>4045</t>
        </is>
      </c>
      <c r="C113" t="inlineStr">
        <is>
          <t>1591</t>
        </is>
      </c>
      <c r="D113" t="n">
        <v>109000</v>
      </c>
      <c r="E113" t="inlineStr">
        <is>
          <t>MERIDIAN CONSULTING LTDA</t>
        </is>
      </c>
    </row>
    <row r="114">
      <c r="A114" t="inlineStr">
        <is>
          <t>37277506</t>
        </is>
      </c>
      <c r="B114" t="inlineStr">
        <is>
          <t>33126</t>
        </is>
      </c>
      <c r="C114" t="inlineStr">
        <is>
          <t>1592</t>
        </is>
      </c>
      <c r="D114" t="n">
        <v>22000</v>
      </c>
      <c r="E114" t="inlineStr">
        <is>
          <t>MERIDIAN CONSULTING LTDA</t>
        </is>
      </c>
    </row>
    <row r="115">
      <c r="A115" t="inlineStr">
        <is>
          <t>37277506</t>
        </is>
      </c>
      <c r="B115" t="inlineStr">
        <is>
          <t>33126</t>
        </is>
      </c>
      <c r="C115" t="inlineStr">
        <is>
          <t>1592</t>
        </is>
      </c>
      <c r="D115" t="n">
        <v>22000</v>
      </c>
      <c r="E115" t="inlineStr">
        <is>
          <t>MERIDIAN CONSULTING LTDA</t>
        </is>
      </c>
    </row>
    <row r="116">
      <c r="A116" t="inlineStr">
        <is>
          <t>37277506</t>
        </is>
      </c>
      <c r="B116" t="inlineStr">
        <is>
          <t>33125</t>
        </is>
      </c>
      <c r="C116" t="inlineStr">
        <is>
          <t>1593</t>
        </is>
      </c>
      <c r="D116" t="n">
        <v>20000</v>
      </c>
      <c r="E116" t="inlineStr">
        <is>
          <t>MERIDIAN CONSULTING LTDA</t>
        </is>
      </c>
    </row>
    <row r="117">
      <c r="A117" t="inlineStr">
        <is>
          <t>37277506</t>
        </is>
      </c>
      <c r="B117" t="inlineStr">
        <is>
          <t>33125</t>
        </is>
      </c>
      <c r="C117" t="inlineStr">
        <is>
          <t>1593</t>
        </is>
      </c>
      <c r="D117" t="n">
        <v>20000</v>
      </c>
      <c r="E117" t="inlineStr">
        <is>
          <t>MERIDIAN CONSULTING LTDA</t>
        </is>
      </c>
    </row>
    <row r="118">
      <c r="A118" t="inlineStr">
        <is>
          <t>1118123812</t>
        </is>
      </c>
      <c r="B118" t="inlineStr">
        <is>
          <t>1889</t>
        </is>
      </c>
      <c r="C118" t="inlineStr">
        <is>
          <t>1594</t>
        </is>
      </c>
      <c r="D118" t="n">
        <v>25000</v>
      </c>
      <c r="E118" t="inlineStr">
        <is>
          <t>MERIDIAN CONSULTING LTDA</t>
        </is>
      </c>
    </row>
    <row r="119">
      <c r="A119" t="inlineStr">
        <is>
          <t>1118123812</t>
        </is>
      </c>
      <c r="B119" t="inlineStr">
        <is>
          <t>1889</t>
        </is>
      </c>
      <c r="C119" t="inlineStr">
        <is>
          <t>1594</t>
        </is>
      </c>
      <c r="D119" t="n">
        <v>25000</v>
      </c>
      <c r="E119" t="inlineStr">
        <is>
          <t>MERIDIAN CONSULTING LTDA</t>
        </is>
      </c>
    </row>
    <row r="120">
      <c r="A120" t="inlineStr">
        <is>
          <t>30082062</t>
        </is>
      </c>
      <c r="B120" t="inlineStr">
        <is>
          <t>10210</t>
        </is>
      </c>
      <c r="C120" t="inlineStr">
        <is>
          <t>1595</t>
        </is>
      </c>
      <c r="D120" t="n">
        <v>18000</v>
      </c>
      <c r="E120" t="inlineStr">
        <is>
          <t>MERIDIAN CONSULTING LTDA</t>
        </is>
      </c>
    </row>
    <row r="121">
      <c r="A121" t="inlineStr">
        <is>
          <t>30082062</t>
        </is>
      </c>
      <c r="B121" t="inlineStr">
        <is>
          <t>10210</t>
        </is>
      </c>
      <c r="C121" t="inlineStr">
        <is>
          <t>1595</t>
        </is>
      </c>
      <c r="D121" t="n">
        <v>18000</v>
      </c>
      <c r="E121" t="inlineStr">
        <is>
          <t>MERIDIAN CONSULTING LTDA</t>
        </is>
      </c>
    </row>
    <row r="122">
      <c r="A122" t="inlineStr">
        <is>
          <t>1118123812</t>
        </is>
      </c>
      <c r="B122" t="inlineStr">
        <is>
          <t>1898</t>
        </is>
      </c>
      <c r="C122" t="inlineStr">
        <is>
          <t>1596</t>
        </is>
      </c>
      <c r="D122" t="n">
        <v>25000</v>
      </c>
      <c r="E122" t="inlineStr">
        <is>
          <t>MERIDIAN CONSULTING LTDA</t>
        </is>
      </c>
    </row>
    <row r="123">
      <c r="A123" t="inlineStr">
        <is>
          <t>1118123812</t>
        </is>
      </c>
      <c r="B123" t="inlineStr">
        <is>
          <t>1898</t>
        </is>
      </c>
      <c r="C123" t="inlineStr">
        <is>
          <t>1596</t>
        </is>
      </c>
      <c r="D123" t="n">
        <v>25000</v>
      </c>
      <c r="E123" t="inlineStr">
        <is>
          <t>MERIDIAN CONSULTING LTDA</t>
        </is>
      </c>
    </row>
    <row r="124">
      <c r="A124" t="inlineStr">
        <is>
          <t>30082062</t>
        </is>
      </c>
      <c r="B124" t="inlineStr">
        <is>
          <t>10209</t>
        </is>
      </c>
      <c r="C124" t="inlineStr">
        <is>
          <t>1597</t>
        </is>
      </c>
      <c r="D124" t="n">
        <v>18000</v>
      </c>
      <c r="E124" t="inlineStr">
        <is>
          <t>MERIDIAN CONSULTING LTDA</t>
        </is>
      </c>
    </row>
    <row r="125">
      <c r="A125" t="inlineStr">
        <is>
          <t>30082062</t>
        </is>
      </c>
      <c r="B125" t="inlineStr">
        <is>
          <t>10209</t>
        </is>
      </c>
      <c r="C125" t="inlineStr">
        <is>
          <t>1597</t>
        </is>
      </c>
      <c r="D125" t="n">
        <v>18000</v>
      </c>
      <c r="E125" t="inlineStr">
        <is>
          <t>MERIDIAN CONSULTING LTDA</t>
        </is>
      </c>
    </row>
    <row r="126">
      <c r="A126" t="inlineStr">
        <is>
          <t>37277506</t>
        </is>
      </c>
      <c r="B126" t="inlineStr">
        <is>
          <t>33124</t>
        </is>
      </c>
      <c r="C126" t="inlineStr">
        <is>
          <t>1598</t>
        </is>
      </c>
      <c r="D126" t="n">
        <v>18000</v>
      </c>
      <c r="E126" t="inlineStr">
        <is>
          <t>MERIDIAN CONSULTING LTDA</t>
        </is>
      </c>
    </row>
    <row r="127">
      <c r="A127" t="inlineStr">
        <is>
          <t>37277506</t>
        </is>
      </c>
      <c r="B127" t="inlineStr">
        <is>
          <t>33124</t>
        </is>
      </c>
      <c r="C127" t="inlineStr">
        <is>
          <t>1598</t>
        </is>
      </c>
      <c r="D127" t="n">
        <v>18000</v>
      </c>
      <c r="E127" t="inlineStr">
        <is>
          <t>MERIDIAN CONSULTING LTDA</t>
        </is>
      </c>
    </row>
    <row r="128">
      <c r="A128" t="inlineStr">
        <is>
          <t>1118123812</t>
        </is>
      </c>
      <c r="B128" t="inlineStr">
        <is>
          <t>1888</t>
        </is>
      </c>
      <c r="C128" t="inlineStr">
        <is>
          <t>1599</t>
        </is>
      </c>
      <c r="D128" t="n">
        <v>45000</v>
      </c>
      <c r="E128" t="inlineStr">
        <is>
          <t>MERIDIAN CONSULTING LTDA</t>
        </is>
      </c>
    </row>
    <row r="129">
      <c r="A129" t="inlineStr">
        <is>
          <t>1118123812</t>
        </is>
      </c>
      <c r="B129" t="inlineStr">
        <is>
          <t>1888</t>
        </is>
      </c>
      <c r="C129" t="inlineStr">
        <is>
          <t>1599</t>
        </is>
      </c>
      <c r="D129" t="n">
        <v>45000</v>
      </c>
      <c r="E129" t="inlineStr">
        <is>
          <t>MERIDIAN CONSULTING LTDA</t>
        </is>
      </c>
    </row>
    <row r="130">
      <c r="A130" t="inlineStr">
        <is>
          <t>1118123812</t>
        </is>
      </c>
      <c r="B130" t="inlineStr">
        <is>
          <t>1888</t>
        </is>
      </c>
      <c r="C130" t="inlineStr">
        <is>
          <t>1599</t>
        </is>
      </c>
      <c r="D130" t="n">
        <v>45000</v>
      </c>
      <c r="E130" t="inlineStr">
        <is>
          <t>MERIDIAN CONSULTING LTDA</t>
        </is>
      </c>
    </row>
    <row r="131">
      <c r="A131" t="inlineStr">
        <is>
          <t>1082898312</t>
        </is>
      </c>
      <c r="B131" t="inlineStr">
        <is>
          <t>36</t>
        </is>
      </c>
      <c r="C131" t="inlineStr">
        <is>
          <t>1600</t>
        </is>
      </c>
      <c r="D131" t="n">
        <v>6777000</v>
      </c>
      <c r="E131" t="inlineStr">
        <is>
          <t>MERIDIAN CONSULTING LTDA</t>
        </is>
      </c>
    </row>
    <row r="132">
      <c r="A132" t="inlineStr">
        <is>
          <t>1082898312</t>
        </is>
      </c>
      <c r="B132" t="inlineStr">
        <is>
          <t>36</t>
        </is>
      </c>
      <c r="C132" t="inlineStr">
        <is>
          <t>1600</t>
        </is>
      </c>
      <c r="D132" t="n">
        <v>6777000</v>
      </c>
      <c r="E132" t="inlineStr">
        <is>
          <t>MERIDIAN CONSULTING LTDA</t>
        </is>
      </c>
    </row>
    <row r="133">
      <c r="A133" t="inlineStr">
        <is>
          <t>1082898312</t>
        </is>
      </c>
      <c r="B133" t="inlineStr">
        <is>
          <t>36</t>
        </is>
      </c>
      <c r="C133" t="inlineStr">
        <is>
          <t>1600</t>
        </is>
      </c>
      <c r="D133" t="n">
        <v>6777000</v>
      </c>
      <c r="E133" t="inlineStr">
        <is>
          <t>MERIDIAN CONSULTING LTDA</t>
        </is>
      </c>
    </row>
    <row r="134">
      <c r="A134" t="inlineStr">
        <is>
          <t>830116500</t>
        </is>
      </c>
      <c r="B134" t="inlineStr">
        <is>
          <t>1124193598</t>
        </is>
      </c>
      <c r="C134" t="inlineStr">
        <is>
          <t>16008229768</t>
        </is>
      </c>
      <c r="D134" t="n">
        <v>70800</v>
      </c>
      <c r="E134" t="inlineStr">
        <is>
          <t>COLVANES S.A.S</t>
        </is>
      </c>
    </row>
    <row r="135">
      <c r="A135" t="inlineStr">
        <is>
          <t>830116500</t>
        </is>
      </c>
      <c r="B135" t="inlineStr">
        <is>
          <t>902280</t>
        </is>
      </c>
      <c r="C135" t="inlineStr">
        <is>
          <t>16008237319</t>
        </is>
      </c>
      <c r="D135" t="n">
        <v>8700</v>
      </c>
      <c r="E135" t="inlineStr">
        <is>
          <t>COLVANES S.A.S</t>
        </is>
      </c>
    </row>
    <row r="136">
      <c r="A136" t="inlineStr">
        <is>
          <t>830116500</t>
        </is>
      </c>
      <c r="B136" t="inlineStr">
        <is>
          <t>3244</t>
        </is>
      </c>
      <c r="C136" t="inlineStr">
        <is>
          <t>16008237323</t>
        </is>
      </c>
      <c r="D136" t="n">
        <v>12800</v>
      </c>
      <c r="E136" t="inlineStr">
        <is>
          <t>COLVANES S.A.S</t>
        </is>
      </c>
    </row>
    <row r="137">
      <c r="A137" t="inlineStr">
        <is>
          <t>830116500</t>
        </is>
      </c>
      <c r="B137" t="inlineStr">
        <is>
          <t>23503094</t>
        </is>
      </c>
      <c r="C137" t="inlineStr">
        <is>
          <t>16008237330</t>
        </is>
      </c>
      <c r="D137" t="n">
        <v>7100</v>
      </c>
      <c r="E137" t="inlineStr">
        <is>
          <t>COLVANES S.A.S</t>
        </is>
      </c>
    </row>
    <row r="138">
      <c r="A138" t="inlineStr">
        <is>
          <t>830116500</t>
        </is>
      </c>
      <c r="B138" t="inlineStr">
        <is>
          <t>563660</t>
        </is>
      </c>
      <c r="C138" t="inlineStr">
        <is>
          <t>16008237338</t>
        </is>
      </c>
      <c r="D138" t="n">
        <v>14300</v>
      </c>
      <c r="E138" t="inlineStr">
        <is>
          <t>COLVANES S.A.S</t>
        </is>
      </c>
    </row>
    <row r="139">
      <c r="A139" t="inlineStr">
        <is>
          <t>830116500</t>
        </is>
      </c>
      <c r="B139" t="inlineStr">
        <is>
          <t>902280</t>
        </is>
      </c>
      <c r="C139" t="inlineStr">
        <is>
          <t>16008238885</t>
        </is>
      </c>
      <c r="D139" t="n">
        <v>8700</v>
      </c>
      <c r="E139" t="inlineStr">
        <is>
          <t>COLVANES S.A.S</t>
        </is>
      </c>
    </row>
    <row r="140">
      <c r="A140" t="inlineStr">
        <is>
          <t>830116500</t>
        </is>
      </c>
      <c r="B140" t="inlineStr">
        <is>
          <t>16008237319</t>
        </is>
      </c>
      <c r="C140" t="inlineStr">
        <is>
          <t>16008238964</t>
        </is>
      </c>
      <c r="D140" t="n">
        <v>8700</v>
      </c>
      <c r="E140" t="inlineStr">
        <is>
          <t>COLVANES S.A.S</t>
        </is>
      </c>
    </row>
    <row r="141">
      <c r="A141" t="inlineStr">
        <is>
          <t>830116500</t>
        </is>
      </c>
      <c r="B141" t="inlineStr">
        <is>
          <t>16008243493</t>
        </is>
      </c>
      <c r="C141" t="inlineStr">
        <is>
          <t>16008243493</t>
        </is>
      </c>
      <c r="D141" t="n">
        <v>10900</v>
      </c>
      <c r="E141" t="inlineStr">
        <is>
          <t>COLVANES S.A.S</t>
        </is>
      </c>
    </row>
    <row r="142">
      <c r="A142" t="inlineStr">
        <is>
          <t>830116500</t>
        </is>
      </c>
      <c r="B142" t="inlineStr">
        <is>
          <t>16008115430</t>
        </is>
      </c>
      <c r="C142" t="inlineStr">
        <is>
          <t>16008244853</t>
        </is>
      </c>
      <c r="D142" t="n">
        <v>36430</v>
      </c>
      <c r="E142" t="inlineStr">
        <is>
          <t>COLVANES S.A.S</t>
        </is>
      </c>
    </row>
    <row r="143">
      <c r="A143" t="inlineStr">
        <is>
          <t>830116500</t>
        </is>
      </c>
      <c r="B143" t="inlineStr">
        <is>
          <t>16008282721</t>
        </is>
      </c>
      <c r="C143" t="inlineStr">
        <is>
          <t>16008247164</t>
        </is>
      </c>
      <c r="D143" t="n">
        <v>23100</v>
      </c>
      <c r="E143" t="inlineStr">
        <is>
          <t>COLVANES S.A.S</t>
        </is>
      </c>
    </row>
    <row r="144">
      <c r="A144" t="inlineStr">
        <is>
          <t>830116500</t>
        </is>
      </c>
      <c r="B144" t="inlineStr">
        <is>
          <t>959</t>
        </is>
      </c>
      <c r="C144" t="inlineStr">
        <is>
          <t>16008259954</t>
        </is>
      </c>
      <c r="D144" t="n">
        <v>35275</v>
      </c>
      <c r="E144" t="inlineStr">
        <is>
          <t>COLVANES S.A.S</t>
        </is>
      </c>
    </row>
    <row r="145">
      <c r="A145" t="inlineStr">
        <is>
          <t>830116500</t>
        </is>
      </c>
      <c r="B145" t="inlineStr">
        <is>
          <t>1124193598</t>
        </is>
      </c>
      <c r="C145" t="inlineStr">
        <is>
          <t>16008282075</t>
        </is>
      </c>
      <c r="D145" t="n">
        <v>63300</v>
      </c>
      <c r="E145" t="inlineStr">
        <is>
          <t>COLVANES S.A.S</t>
        </is>
      </c>
    </row>
    <row r="146">
      <c r="A146" t="inlineStr">
        <is>
          <t>830116500</t>
        </is>
      </c>
      <c r="B146" t="inlineStr">
        <is>
          <t>16008282721</t>
        </is>
      </c>
      <c r="C146" t="inlineStr">
        <is>
          <t>16008282705</t>
        </is>
      </c>
      <c r="D146" t="n">
        <v>22900</v>
      </c>
      <c r="E146" t="inlineStr">
        <is>
          <t>COLVANES S.A.S</t>
        </is>
      </c>
    </row>
    <row r="147">
      <c r="A147" t="inlineStr">
        <is>
          <t>830116500</t>
        </is>
      </c>
      <c r="B147" t="inlineStr">
        <is>
          <t>128453</t>
        </is>
      </c>
      <c r="C147" t="inlineStr">
        <is>
          <t>16008282711</t>
        </is>
      </c>
      <c r="D147" t="n">
        <v>22900</v>
      </c>
      <c r="E147" t="inlineStr">
        <is>
          <t>COLVANES S.A.S</t>
        </is>
      </c>
    </row>
    <row r="148">
      <c r="A148" t="inlineStr">
        <is>
          <t>830116500</t>
        </is>
      </c>
      <c r="B148" t="inlineStr">
        <is>
          <t>235932</t>
        </is>
      </c>
      <c r="C148" t="inlineStr">
        <is>
          <t>16008282714</t>
        </is>
      </c>
      <c r="D148" t="n">
        <v>17900</v>
      </c>
      <c r="E148" t="inlineStr">
        <is>
          <t>COLVANES S.A.S</t>
        </is>
      </c>
    </row>
    <row r="149">
      <c r="A149" t="inlineStr">
        <is>
          <t>830116500</t>
        </is>
      </c>
      <c r="B149" t="inlineStr">
        <is>
          <t>899363</t>
        </is>
      </c>
      <c r="C149" t="inlineStr">
        <is>
          <t>16008282721</t>
        </is>
      </c>
      <c r="D149" t="n">
        <v>22900</v>
      </c>
      <c r="E149" t="inlineStr">
        <is>
          <t>COLVANES S.A.S</t>
        </is>
      </c>
    </row>
    <row r="150">
      <c r="A150" t="inlineStr">
        <is>
          <t>830116500</t>
        </is>
      </c>
      <c r="B150" t="inlineStr">
        <is>
          <t>563660</t>
        </is>
      </c>
      <c r="C150" t="inlineStr">
        <is>
          <t>16008289528</t>
        </is>
      </c>
      <c r="D150" t="n">
        <v>14700</v>
      </c>
      <c r="E150" t="inlineStr">
        <is>
          <t>COLVANES S.A.S</t>
        </is>
      </c>
    </row>
    <row r="151">
      <c r="A151" t="inlineStr">
        <is>
          <t>1056783763</t>
        </is>
      </c>
      <c r="B151" t="inlineStr">
        <is>
          <t>666</t>
        </is>
      </c>
      <c r="C151" t="inlineStr">
        <is>
          <t>1601</t>
        </is>
      </c>
      <c r="D151" t="n">
        <v>18000</v>
      </c>
      <c r="E151" t="inlineStr">
        <is>
          <t>MERIDIAN CONSULTING LTDA</t>
        </is>
      </c>
    </row>
    <row r="152">
      <c r="A152" t="inlineStr">
        <is>
          <t>1056783763</t>
        </is>
      </c>
      <c r="B152" t="inlineStr">
        <is>
          <t>666</t>
        </is>
      </c>
      <c r="C152" t="inlineStr">
        <is>
          <t>1601</t>
        </is>
      </c>
      <c r="D152" t="n">
        <v>18000</v>
      </c>
      <c r="E152" t="inlineStr">
        <is>
          <t>MERIDIAN CONSULTING LTDA</t>
        </is>
      </c>
    </row>
    <row r="153">
      <c r="A153" t="inlineStr">
        <is>
          <t>1056783763</t>
        </is>
      </c>
      <c r="B153" t="inlineStr">
        <is>
          <t>666</t>
        </is>
      </c>
      <c r="C153" t="inlineStr">
        <is>
          <t>1601</t>
        </is>
      </c>
      <c r="D153" t="n">
        <v>18000</v>
      </c>
      <c r="E153" t="inlineStr">
        <is>
          <t>MERIDIAN CONSULTING LTDA</t>
        </is>
      </c>
    </row>
    <row r="154">
      <c r="A154" t="inlineStr">
        <is>
          <t>1069872459</t>
        </is>
      </c>
      <c r="B154" t="inlineStr">
        <is>
          <t>1</t>
        </is>
      </c>
      <c r="C154" t="inlineStr">
        <is>
          <t>1602</t>
        </is>
      </c>
      <c r="D154" t="n">
        <v>15000</v>
      </c>
      <c r="E154" t="inlineStr">
        <is>
          <t>MERIDIAN CONSULTING LTDA</t>
        </is>
      </c>
    </row>
    <row r="155">
      <c r="A155" t="inlineStr">
        <is>
          <t>1069872459</t>
        </is>
      </c>
      <c r="B155" t="inlineStr">
        <is>
          <t>1</t>
        </is>
      </c>
      <c r="C155" t="inlineStr">
        <is>
          <t>1602</t>
        </is>
      </c>
      <c r="D155" t="n">
        <v>15000</v>
      </c>
      <c r="E155" t="inlineStr">
        <is>
          <t>MERIDIAN CONSULTING LTDA</t>
        </is>
      </c>
    </row>
    <row r="156">
      <c r="A156" t="inlineStr">
        <is>
          <t>1069872459</t>
        </is>
      </c>
      <c r="B156" t="inlineStr">
        <is>
          <t>1</t>
        </is>
      </c>
      <c r="C156" t="inlineStr">
        <is>
          <t>1602</t>
        </is>
      </c>
      <c r="D156" t="n">
        <v>15000</v>
      </c>
      <c r="E156" t="inlineStr">
        <is>
          <t>MERIDIAN CONSULTING LTDA</t>
        </is>
      </c>
    </row>
    <row r="157">
      <c r="A157" t="inlineStr">
        <is>
          <t>21949955</t>
        </is>
      </c>
      <c r="B157" t="inlineStr">
        <is>
          <t>1</t>
        </is>
      </c>
      <c r="C157" t="inlineStr">
        <is>
          <t>1603</t>
        </is>
      </c>
      <c r="D157" t="n">
        <v>22500</v>
      </c>
      <c r="E157" t="inlineStr">
        <is>
          <t>MERIDIAN CONSULTING LTDA</t>
        </is>
      </c>
    </row>
    <row r="158">
      <c r="A158" t="inlineStr">
        <is>
          <t>21949955</t>
        </is>
      </c>
      <c r="B158" t="inlineStr">
        <is>
          <t>1</t>
        </is>
      </c>
      <c r="C158" t="inlineStr">
        <is>
          <t>1603</t>
        </is>
      </c>
      <c r="D158" t="n">
        <v>22500</v>
      </c>
      <c r="E158" t="inlineStr">
        <is>
          <t>MERIDIAN CONSULTING LTDA</t>
        </is>
      </c>
    </row>
    <row r="159">
      <c r="A159" t="inlineStr">
        <is>
          <t>21949955</t>
        </is>
      </c>
      <c r="B159" t="inlineStr">
        <is>
          <t>1</t>
        </is>
      </c>
      <c r="C159" t="inlineStr">
        <is>
          <t>1603</t>
        </is>
      </c>
      <c r="D159" t="n">
        <v>22500</v>
      </c>
      <c r="E159" t="inlineStr">
        <is>
          <t>MERIDIAN CONSULTING LTDA</t>
        </is>
      </c>
    </row>
    <row r="160">
      <c r="A160" t="inlineStr">
        <is>
          <t>1095922924</t>
        </is>
      </c>
      <c r="B160" t="inlineStr"/>
      <c r="C160" t="inlineStr">
        <is>
          <t>1604</t>
        </is>
      </c>
      <c r="D160" t="n">
        <v>232000</v>
      </c>
      <c r="E160" t="inlineStr">
        <is>
          <t>MERIDIAN CONSULTING LTDA</t>
        </is>
      </c>
    </row>
    <row r="161">
      <c r="A161" t="inlineStr">
        <is>
          <t>1095922924</t>
        </is>
      </c>
      <c r="B161" t="inlineStr"/>
      <c r="C161" t="inlineStr">
        <is>
          <t>1604</t>
        </is>
      </c>
      <c r="D161" t="n">
        <v>232000</v>
      </c>
      <c r="E161" t="inlineStr">
        <is>
          <t>MERIDIAN CONSULTING LTDA</t>
        </is>
      </c>
    </row>
    <row r="162">
      <c r="A162" t="inlineStr">
        <is>
          <t>1095922924</t>
        </is>
      </c>
      <c r="B162" t="inlineStr"/>
      <c r="C162" t="inlineStr">
        <is>
          <t>1604</t>
        </is>
      </c>
      <c r="D162" t="n">
        <v>232000</v>
      </c>
      <c r="E162" t="inlineStr">
        <is>
          <t>MERIDIAN CONSULTING LTDA</t>
        </is>
      </c>
    </row>
    <row r="163">
      <c r="A163" t="inlineStr">
        <is>
          <t>1095922924</t>
        </is>
      </c>
      <c r="B163" t="inlineStr"/>
      <c r="C163" t="inlineStr">
        <is>
          <t>1604</t>
        </is>
      </c>
      <c r="D163" t="n">
        <v>232000</v>
      </c>
      <c r="E163" t="inlineStr">
        <is>
          <t>MERIDIAN CONSULTING LTDA</t>
        </is>
      </c>
    </row>
    <row r="164">
      <c r="A164" t="inlineStr">
        <is>
          <t>63544430</t>
        </is>
      </c>
      <c r="B164" t="inlineStr">
        <is>
          <t>354466</t>
        </is>
      </c>
      <c r="C164" t="inlineStr">
        <is>
          <t>1605</t>
        </is>
      </c>
      <c r="D164" t="n">
        <v>17000</v>
      </c>
      <c r="E164" t="inlineStr">
        <is>
          <t>MERIDIAN CONSULTING LTDA</t>
        </is>
      </c>
    </row>
    <row r="165">
      <c r="A165" t="inlineStr">
        <is>
          <t>63544430</t>
        </is>
      </c>
      <c r="B165" t="inlineStr">
        <is>
          <t>354466</t>
        </is>
      </c>
      <c r="C165" t="inlineStr">
        <is>
          <t>1605</t>
        </is>
      </c>
      <c r="D165" t="n">
        <v>17000</v>
      </c>
      <c r="E165" t="inlineStr">
        <is>
          <t>MERIDIAN CONSULTING LTDA</t>
        </is>
      </c>
    </row>
    <row r="166">
      <c r="A166" t="inlineStr">
        <is>
          <t>63544430</t>
        </is>
      </c>
      <c r="B166" t="inlineStr">
        <is>
          <t>354466</t>
        </is>
      </c>
      <c r="C166" t="inlineStr">
        <is>
          <t>1605</t>
        </is>
      </c>
      <c r="D166" t="n">
        <v>17000</v>
      </c>
      <c r="E166" t="inlineStr">
        <is>
          <t>MERIDIAN CONSULTING LTDA</t>
        </is>
      </c>
    </row>
    <row r="167">
      <c r="A167" t="inlineStr">
        <is>
          <t>39811337</t>
        </is>
      </c>
      <c r="B167" t="inlineStr">
        <is>
          <t>2540</t>
        </is>
      </c>
      <c r="C167" t="inlineStr">
        <is>
          <t>1606</t>
        </is>
      </c>
      <c r="D167" t="n">
        <v>15000</v>
      </c>
      <c r="E167" t="inlineStr">
        <is>
          <t>MERIDIAN CONSULTING LTDA</t>
        </is>
      </c>
    </row>
    <row r="168">
      <c r="A168" t="inlineStr">
        <is>
          <t>39811337</t>
        </is>
      </c>
      <c r="B168" t="inlineStr">
        <is>
          <t>2540</t>
        </is>
      </c>
      <c r="C168" t="inlineStr">
        <is>
          <t>1606</t>
        </is>
      </c>
      <c r="D168" t="n">
        <v>15000</v>
      </c>
      <c r="E168" t="inlineStr">
        <is>
          <t>MERIDIAN CONSULTING LTDA</t>
        </is>
      </c>
    </row>
    <row r="169">
      <c r="A169" t="inlineStr">
        <is>
          <t>39811337</t>
        </is>
      </c>
      <c r="B169" t="inlineStr">
        <is>
          <t>2540</t>
        </is>
      </c>
      <c r="C169" t="inlineStr">
        <is>
          <t>1606</t>
        </is>
      </c>
      <c r="D169" t="n">
        <v>15000</v>
      </c>
      <c r="E169" t="inlineStr">
        <is>
          <t>MERIDIAN CONSULTING LTDA</t>
        </is>
      </c>
    </row>
    <row r="170">
      <c r="A170" t="inlineStr">
        <is>
          <t>1069872459</t>
        </is>
      </c>
      <c r="B170" t="inlineStr">
        <is>
          <t>2</t>
        </is>
      </c>
      <c r="C170" t="inlineStr">
        <is>
          <t>1607</t>
        </is>
      </c>
      <c r="D170" t="n">
        <v>20000</v>
      </c>
      <c r="E170" t="inlineStr">
        <is>
          <t>MERIDIAN CONSULTING LTDA</t>
        </is>
      </c>
    </row>
    <row r="171">
      <c r="A171" t="inlineStr">
        <is>
          <t>1069872459</t>
        </is>
      </c>
      <c r="B171" t="inlineStr">
        <is>
          <t>2</t>
        </is>
      </c>
      <c r="C171" t="inlineStr">
        <is>
          <t>1607</t>
        </is>
      </c>
      <c r="D171" t="n">
        <v>20000</v>
      </c>
      <c r="E171" t="inlineStr">
        <is>
          <t>MERIDIAN CONSULTING LTDA</t>
        </is>
      </c>
    </row>
    <row r="172">
      <c r="A172" t="inlineStr">
        <is>
          <t>1069872459</t>
        </is>
      </c>
      <c r="B172" t="inlineStr">
        <is>
          <t>2</t>
        </is>
      </c>
      <c r="C172" t="inlineStr">
        <is>
          <t>1607</t>
        </is>
      </c>
      <c r="D172" t="n">
        <v>20000</v>
      </c>
      <c r="E172" t="inlineStr">
        <is>
          <t>MERIDIAN CONSULTING LTDA</t>
        </is>
      </c>
    </row>
    <row r="173">
      <c r="A173" t="inlineStr">
        <is>
          <t>1056783763</t>
        </is>
      </c>
      <c r="B173" t="inlineStr">
        <is>
          <t>667</t>
        </is>
      </c>
      <c r="C173" t="inlineStr">
        <is>
          <t>1608</t>
        </is>
      </c>
      <c r="D173" t="n">
        <v>19000</v>
      </c>
      <c r="E173" t="inlineStr">
        <is>
          <t>MERIDIAN CONSULTING LTDA</t>
        </is>
      </c>
    </row>
    <row r="174">
      <c r="A174" t="inlineStr">
        <is>
          <t>1056783763</t>
        </is>
      </c>
      <c r="B174" t="inlineStr">
        <is>
          <t>667</t>
        </is>
      </c>
      <c r="C174" t="inlineStr">
        <is>
          <t>1608</t>
        </is>
      </c>
      <c r="D174" t="n">
        <v>19000</v>
      </c>
      <c r="E174" t="inlineStr">
        <is>
          <t>MERIDIAN CONSULTING LTDA</t>
        </is>
      </c>
    </row>
    <row r="175">
      <c r="A175" t="inlineStr">
        <is>
          <t>1056783763</t>
        </is>
      </c>
      <c r="B175" t="inlineStr">
        <is>
          <t>667</t>
        </is>
      </c>
      <c r="C175" t="inlineStr">
        <is>
          <t>1608</t>
        </is>
      </c>
      <c r="D175" t="n">
        <v>19000</v>
      </c>
      <c r="E175" t="inlineStr">
        <is>
          <t>MERIDIAN CONSULTING LTDA</t>
        </is>
      </c>
    </row>
    <row r="176">
      <c r="A176" t="inlineStr">
        <is>
          <t>21949955</t>
        </is>
      </c>
      <c r="B176" t="inlineStr">
        <is>
          <t>231025</t>
        </is>
      </c>
      <c r="C176" t="inlineStr">
        <is>
          <t>1609</t>
        </is>
      </c>
      <c r="D176" t="n">
        <v>22500</v>
      </c>
      <c r="E176" t="inlineStr">
        <is>
          <t>MERIDIAN CONSULTING LTDA</t>
        </is>
      </c>
    </row>
    <row r="177">
      <c r="A177" t="inlineStr">
        <is>
          <t>21949955</t>
        </is>
      </c>
      <c r="B177" t="inlineStr">
        <is>
          <t>231025</t>
        </is>
      </c>
      <c r="C177" t="inlineStr">
        <is>
          <t>1609</t>
        </is>
      </c>
      <c r="D177" t="n">
        <v>22500</v>
      </c>
      <c r="E177" t="inlineStr">
        <is>
          <t>MERIDIAN CONSULTING LTDA</t>
        </is>
      </c>
    </row>
    <row r="178">
      <c r="A178" t="inlineStr">
        <is>
          <t>21949955</t>
        </is>
      </c>
      <c r="B178" t="inlineStr">
        <is>
          <t>231025</t>
        </is>
      </c>
      <c r="C178" t="inlineStr">
        <is>
          <t>1609</t>
        </is>
      </c>
      <c r="D178" t="n">
        <v>22500</v>
      </c>
      <c r="E178" t="inlineStr">
        <is>
          <t>MERIDIAN CONSULTING LTDA</t>
        </is>
      </c>
    </row>
    <row r="179">
      <c r="A179" t="inlineStr">
        <is>
          <t>39811337</t>
        </is>
      </c>
      <c r="B179" t="inlineStr">
        <is>
          <t>2539</t>
        </is>
      </c>
      <c r="C179" t="inlineStr">
        <is>
          <t>1610</t>
        </is>
      </c>
      <c r="D179" t="n">
        <v>22000</v>
      </c>
      <c r="E179" t="inlineStr">
        <is>
          <t>MERIDIAN CONSULTING LTDA</t>
        </is>
      </c>
    </row>
    <row r="180">
      <c r="A180" t="inlineStr">
        <is>
          <t>39811337</t>
        </is>
      </c>
      <c r="B180" t="inlineStr">
        <is>
          <t>2539</t>
        </is>
      </c>
      <c r="C180" t="inlineStr">
        <is>
          <t>1610</t>
        </is>
      </c>
      <c r="D180" t="n">
        <v>22000</v>
      </c>
      <c r="E180" t="inlineStr">
        <is>
          <t>MERIDIAN CONSULTING LTDA</t>
        </is>
      </c>
    </row>
    <row r="181">
      <c r="A181" t="inlineStr">
        <is>
          <t>39811337</t>
        </is>
      </c>
      <c r="B181" t="inlineStr">
        <is>
          <t>2539</t>
        </is>
      </c>
      <c r="C181" t="inlineStr">
        <is>
          <t>1610</t>
        </is>
      </c>
      <c r="D181" t="n">
        <v>22000</v>
      </c>
      <c r="E181" t="inlineStr">
        <is>
          <t>MERIDIAN CONSULTING LTDA</t>
        </is>
      </c>
    </row>
    <row r="182">
      <c r="A182" t="inlineStr">
        <is>
          <t>88281896</t>
        </is>
      </c>
      <c r="B182" t="inlineStr">
        <is>
          <t>10</t>
        </is>
      </c>
      <c r="C182" t="inlineStr">
        <is>
          <t>1611</t>
        </is>
      </c>
      <c r="D182" t="n">
        <v>232000</v>
      </c>
      <c r="E182" t="inlineStr">
        <is>
          <t>MERIDIAN CONSULTING LTDA</t>
        </is>
      </c>
    </row>
    <row r="183">
      <c r="A183" t="inlineStr">
        <is>
          <t>88281896</t>
        </is>
      </c>
      <c r="B183" t="inlineStr">
        <is>
          <t>10</t>
        </is>
      </c>
      <c r="C183" t="inlineStr">
        <is>
          <t>1611</t>
        </is>
      </c>
      <c r="D183" t="n">
        <v>232000</v>
      </c>
      <c r="E183" t="inlineStr">
        <is>
          <t>MERIDIAN CONSULTING LTDA</t>
        </is>
      </c>
    </row>
    <row r="184">
      <c r="A184" t="inlineStr">
        <is>
          <t>88281896</t>
        </is>
      </c>
      <c r="B184" t="inlineStr">
        <is>
          <t>10</t>
        </is>
      </c>
      <c r="C184" t="inlineStr">
        <is>
          <t>1611</t>
        </is>
      </c>
      <c r="D184" t="n">
        <v>232000</v>
      </c>
      <c r="E184" t="inlineStr">
        <is>
          <t>MERIDIAN CONSULTING LTDA</t>
        </is>
      </c>
    </row>
    <row r="185">
      <c r="A185" t="inlineStr">
        <is>
          <t>88281896</t>
        </is>
      </c>
      <c r="B185" t="inlineStr">
        <is>
          <t>10</t>
        </is>
      </c>
      <c r="C185" t="inlineStr">
        <is>
          <t>1611</t>
        </is>
      </c>
      <c r="D185" t="n">
        <v>232000</v>
      </c>
      <c r="E185" t="inlineStr">
        <is>
          <t>MERIDIAN CONSULTING LTDA</t>
        </is>
      </c>
    </row>
    <row r="186">
      <c r="A186" t="inlineStr">
        <is>
          <t>80150738</t>
        </is>
      </c>
      <c r="B186" t="inlineStr"/>
      <c r="C186" t="inlineStr">
        <is>
          <t>1612</t>
        </is>
      </c>
      <c r="D186" t="n">
        <v>464000</v>
      </c>
      <c r="E186" t="inlineStr">
        <is>
          <t>MERIDIAN CONSULTING LTDA</t>
        </is>
      </c>
    </row>
    <row r="187">
      <c r="A187" t="inlineStr">
        <is>
          <t>80150738</t>
        </is>
      </c>
      <c r="B187" t="inlineStr"/>
      <c r="C187" t="inlineStr">
        <is>
          <t>1612</t>
        </is>
      </c>
      <c r="D187" t="n">
        <v>464000</v>
      </c>
      <c r="E187" t="inlineStr">
        <is>
          <t>MERIDIAN CONSULTING LTDA</t>
        </is>
      </c>
    </row>
    <row r="188">
      <c r="A188" t="inlineStr">
        <is>
          <t>80150738</t>
        </is>
      </c>
      <c r="B188" t="inlineStr"/>
      <c r="C188" t="inlineStr">
        <is>
          <t>1612</t>
        </is>
      </c>
      <c r="D188" t="n">
        <v>464000</v>
      </c>
      <c r="E188" t="inlineStr">
        <is>
          <t>MERIDIAN CONSULTING LTDA</t>
        </is>
      </c>
    </row>
    <row r="189">
      <c r="A189" t="inlineStr">
        <is>
          <t>80150738</t>
        </is>
      </c>
      <c r="B189" t="inlineStr"/>
      <c r="C189" t="inlineStr">
        <is>
          <t>1612</t>
        </is>
      </c>
      <c r="D189" t="n">
        <v>464000</v>
      </c>
      <c r="E189" t="inlineStr">
        <is>
          <t>MERIDIAN CONSULTING LTDA</t>
        </is>
      </c>
    </row>
    <row r="190">
      <c r="A190" t="inlineStr">
        <is>
          <t>80150738</t>
        </is>
      </c>
      <c r="B190" t="inlineStr"/>
      <c r="C190" t="inlineStr">
        <is>
          <t>1612</t>
        </is>
      </c>
      <c r="D190" t="n">
        <v>464000</v>
      </c>
      <c r="E190" t="inlineStr">
        <is>
          <t>MERIDIAN CONSULTING LTDA</t>
        </is>
      </c>
    </row>
    <row r="191">
      <c r="A191" t="inlineStr">
        <is>
          <t>1014181943</t>
        </is>
      </c>
      <c r="B191" t="inlineStr">
        <is>
          <t>2</t>
        </is>
      </c>
      <c r="C191" t="inlineStr">
        <is>
          <t>1613</t>
        </is>
      </c>
      <c r="D191" t="n">
        <v>170000</v>
      </c>
      <c r="E191" t="inlineStr">
        <is>
          <t>MERIDIAN CONSULTING LTDA</t>
        </is>
      </c>
    </row>
    <row r="192">
      <c r="A192" t="inlineStr">
        <is>
          <t>1014181943</t>
        </is>
      </c>
      <c r="B192" t="inlineStr">
        <is>
          <t>2</t>
        </is>
      </c>
      <c r="C192" t="inlineStr">
        <is>
          <t>1613</t>
        </is>
      </c>
      <c r="D192" t="n">
        <v>170000</v>
      </c>
      <c r="E192" t="inlineStr">
        <is>
          <t>MERIDIAN CONSULTING LTDA</t>
        </is>
      </c>
    </row>
    <row r="193">
      <c r="A193" t="inlineStr">
        <is>
          <t>1014181943</t>
        </is>
      </c>
      <c r="B193" t="inlineStr">
        <is>
          <t>2</t>
        </is>
      </c>
      <c r="C193" t="inlineStr">
        <is>
          <t>1613</t>
        </is>
      </c>
      <c r="D193" t="n">
        <v>170000</v>
      </c>
      <c r="E193" t="inlineStr">
        <is>
          <t>MERIDIAN CONSULTING LTDA</t>
        </is>
      </c>
    </row>
    <row r="194">
      <c r="A194" t="inlineStr">
        <is>
          <t>1014181943</t>
        </is>
      </c>
      <c r="B194" t="inlineStr">
        <is>
          <t>2</t>
        </is>
      </c>
      <c r="C194" t="inlineStr">
        <is>
          <t>1613</t>
        </is>
      </c>
      <c r="D194" t="n">
        <v>170000</v>
      </c>
      <c r="E194" t="inlineStr">
        <is>
          <t>MERIDIAN CONSULTING LTDA</t>
        </is>
      </c>
    </row>
    <row r="195">
      <c r="A195" t="inlineStr">
        <is>
          <t>1075250696</t>
        </is>
      </c>
      <c r="B195" t="inlineStr">
        <is>
          <t>31</t>
        </is>
      </c>
      <c r="C195" t="inlineStr">
        <is>
          <t>1614</t>
        </is>
      </c>
      <c r="D195" t="n">
        <v>6024000</v>
      </c>
      <c r="E195" t="inlineStr">
        <is>
          <t>MERIDIAN CONSULTING LTDA</t>
        </is>
      </c>
    </row>
    <row r="196">
      <c r="A196" t="inlineStr">
        <is>
          <t>1075250696</t>
        </is>
      </c>
      <c r="B196" t="inlineStr">
        <is>
          <t>31</t>
        </is>
      </c>
      <c r="C196" t="inlineStr">
        <is>
          <t>1614</t>
        </is>
      </c>
      <c r="D196" t="n">
        <v>6024000</v>
      </c>
      <c r="E196" t="inlineStr">
        <is>
          <t>MERIDIAN CONSULTING LTDA</t>
        </is>
      </c>
    </row>
    <row r="197">
      <c r="A197" t="inlineStr">
        <is>
          <t>1075250696</t>
        </is>
      </c>
      <c r="B197" t="inlineStr">
        <is>
          <t>31</t>
        </is>
      </c>
      <c r="C197" t="inlineStr">
        <is>
          <t>1614</t>
        </is>
      </c>
      <c r="D197" t="n">
        <v>6024000</v>
      </c>
      <c r="E197" t="inlineStr">
        <is>
          <t>MERIDIAN CONSULTING LTDA</t>
        </is>
      </c>
    </row>
    <row r="198">
      <c r="A198" t="inlineStr">
        <is>
          <t>830116500</t>
        </is>
      </c>
      <c r="B198" t="inlineStr">
        <is>
          <t>15159</t>
        </is>
      </c>
      <c r="C198" t="inlineStr">
        <is>
          <t>1723</t>
        </is>
      </c>
      <c r="D198" t="n">
        <v>3387930</v>
      </c>
      <c r="E198" t="inlineStr">
        <is>
          <t>CONSULTORES JURIDICOS C3 S.A.S</t>
        </is>
      </c>
    </row>
    <row r="199">
      <c r="A199" t="inlineStr">
        <is>
          <t>830116500</t>
        </is>
      </c>
      <c r="B199" t="inlineStr">
        <is>
          <t>563660</t>
        </is>
      </c>
      <c r="C199" t="inlineStr">
        <is>
          <t>174976</t>
        </is>
      </c>
      <c r="D199" t="n">
        <v>19899</v>
      </c>
      <c r="E199" t="inlineStr">
        <is>
          <t>MASSER S A S</t>
        </is>
      </c>
    </row>
    <row r="200">
      <c r="A200" t="inlineStr">
        <is>
          <t>830116500</t>
        </is>
      </c>
      <c r="B200" t="inlineStr">
        <is>
          <t>15159</t>
        </is>
      </c>
      <c r="C200" t="inlineStr">
        <is>
          <t>174980</t>
        </is>
      </c>
      <c r="D200" t="n">
        <v>27400</v>
      </c>
      <c r="E200" t="inlineStr">
        <is>
          <t>MASSER S A S</t>
        </is>
      </c>
    </row>
    <row r="201">
      <c r="A201" t="inlineStr">
        <is>
          <t>830116500</t>
        </is>
      </c>
      <c r="B201" t="inlineStr">
        <is>
          <t>84</t>
        </is>
      </c>
      <c r="C201" t="inlineStr">
        <is>
          <t>176</t>
        </is>
      </c>
      <c r="D201" t="n">
        <v>17376370.46</v>
      </c>
      <c r="E201" t="inlineStr">
        <is>
          <t>ESTUDIO LOPEZ, ARQUITECTURA - INGENIERÍA - AVALÚOS E INMOBILIARIA SAS</t>
        </is>
      </c>
    </row>
    <row r="202">
      <c r="A202" t="inlineStr">
        <is>
          <t>830116500</t>
        </is>
      </c>
      <c r="B202" t="inlineStr">
        <is>
          <t>74</t>
        </is>
      </c>
      <c r="C202" t="inlineStr">
        <is>
          <t>177</t>
        </is>
      </c>
      <c r="D202" t="n">
        <v>14293610.12</v>
      </c>
      <c r="E202" t="inlineStr">
        <is>
          <t>ESTUDIO LOPEZ, ARQUITECTURA - INGENIERÍA - AVALÚOS E INMOBILIARIA SAS</t>
        </is>
      </c>
    </row>
    <row r="203">
      <c r="A203" t="inlineStr">
        <is>
          <t>830116500</t>
        </is>
      </c>
      <c r="B203" t="inlineStr">
        <is>
          <t>179143</t>
        </is>
      </c>
      <c r="C203" t="inlineStr">
        <is>
          <t>179143</t>
        </is>
      </c>
      <c r="D203" t="n">
        <v>20550</v>
      </c>
      <c r="E203" t="inlineStr">
        <is>
          <t>SERVIENTREGA S.A.</t>
        </is>
      </c>
    </row>
    <row r="204">
      <c r="A204" t="inlineStr">
        <is>
          <t>830116500</t>
        </is>
      </c>
      <c r="B204" t="inlineStr">
        <is>
          <t>127191632</t>
        </is>
      </c>
      <c r="C204" t="inlineStr">
        <is>
          <t>18</t>
        </is>
      </c>
      <c r="D204" t="n">
        <v>114240</v>
      </c>
      <c r="E204" t="inlineStr">
        <is>
          <t>SELLOS PA YA SAS</t>
        </is>
      </c>
    </row>
    <row r="205">
      <c r="A205" t="inlineStr">
        <is>
          <t>830116500</t>
        </is>
      </c>
      <c r="B205" t="inlineStr">
        <is>
          <t>899363</t>
        </is>
      </c>
      <c r="C205" t="inlineStr">
        <is>
          <t>18058</t>
        </is>
      </c>
      <c r="D205" t="n">
        <v>19800</v>
      </c>
      <c r="E205" t="inlineStr">
        <is>
          <t>PROCAFECOL S.A.</t>
        </is>
      </c>
    </row>
    <row r="206">
      <c r="A206" t="inlineStr">
        <is>
          <t>830116500</t>
        </is>
      </c>
      <c r="B206" t="inlineStr">
        <is>
          <t>18239</t>
        </is>
      </c>
      <c r="C206" t="inlineStr">
        <is>
          <t>18239</t>
        </is>
      </c>
      <c r="D206" t="n">
        <v>12310307</v>
      </c>
      <c r="E206" t="inlineStr">
        <is>
          <t>MEDPLUS MEDICINA PREPAGADA S.A.</t>
        </is>
      </c>
    </row>
    <row r="207">
      <c r="A207" t="inlineStr">
        <is>
          <t>830116500</t>
        </is>
      </c>
      <c r="B207" t="inlineStr">
        <is>
          <t>23031</t>
        </is>
      </c>
      <c r="C207" t="inlineStr">
        <is>
          <t>183</t>
        </is>
      </c>
      <c r="D207" t="n">
        <v>225000</v>
      </c>
      <c r="E207" t="inlineStr">
        <is>
          <t>HOTEL ROSALES NEIVA</t>
        </is>
      </c>
    </row>
    <row r="208">
      <c r="A208" t="inlineStr">
        <is>
          <t>830116500</t>
        </is>
      </c>
      <c r="B208" t="inlineStr">
        <is>
          <t>185</t>
        </is>
      </c>
      <c r="C208" t="inlineStr">
        <is>
          <t>184</t>
        </is>
      </c>
      <c r="D208" t="n">
        <v>225000</v>
      </c>
      <c r="E208" t="inlineStr">
        <is>
          <t>HOTEL ROSALES NEIVA</t>
        </is>
      </c>
    </row>
    <row r="209">
      <c r="A209" t="inlineStr">
        <is>
          <t>830116500</t>
        </is>
      </c>
      <c r="B209" t="inlineStr">
        <is>
          <t>185</t>
        </is>
      </c>
      <c r="C209" t="inlineStr">
        <is>
          <t>185</t>
        </is>
      </c>
      <c r="D209" t="n">
        <v>225000</v>
      </c>
      <c r="E209" t="inlineStr">
        <is>
          <t>HOTEL ROSALES NEIVA</t>
        </is>
      </c>
    </row>
    <row r="210">
      <c r="A210" t="inlineStr">
        <is>
          <t>830116500</t>
        </is>
      </c>
      <c r="B210" t="inlineStr">
        <is>
          <t>899363</t>
        </is>
      </c>
      <c r="C210" t="inlineStr">
        <is>
          <t>1856</t>
        </is>
      </c>
      <c r="D210" t="n">
        <v>19440</v>
      </c>
      <c r="E210" t="inlineStr">
        <is>
          <t>BENITEZ MARIA JOSEFINA</t>
        </is>
      </c>
    </row>
    <row r="211">
      <c r="A211" t="inlineStr">
        <is>
          <t>830116500</t>
        </is>
      </c>
      <c r="B211" t="inlineStr">
        <is>
          <t>3244</t>
        </is>
      </c>
      <c r="C211" t="inlineStr">
        <is>
          <t>1857</t>
        </is>
      </c>
      <c r="D211" t="n">
        <v>16200</v>
      </c>
      <c r="E211" t="inlineStr">
        <is>
          <t>BENITEZ MARIA JOSEFINA</t>
        </is>
      </c>
    </row>
    <row r="212">
      <c r="A212" t="inlineStr">
        <is>
          <t>830116500</t>
        </is>
      </c>
      <c r="B212" t="inlineStr">
        <is>
          <t>186036</t>
        </is>
      </c>
      <c r="C212" t="inlineStr">
        <is>
          <t>186036</t>
        </is>
      </c>
      <c r="D212" t="n">
        <v>4200</v>
      </c>
      <c r="E212" t="inlineStr">
        <is>
          <t>CORPORACION DE COMERCIANTES PLAZA DE MERCADO DE PALOQUEMAO</t>
        </is>
      </c>
    </row>
    <row r="213">
      <c r="A213" t="inlineStr">
        <is>
          <t>830116500</t>
        </is>
      </c>
      <c r="B213" t="inlineStr">
        <is>
          <t>3244</t>
        </is>
      </c>
      <c r="C213" t="inlineStr">
        <is>
          <t>189059</t>
        </is>
      </c>
      <c r="D213" t="n">
        <v>846982.5</v>
      </c>
      <c r="E213" t="inlineStr">
        <is>
          <t>AVAL FIDUCIARIA S.A</t>
        </is>
      </c>
    </row>
    <row r="214">
      <c r="A214" t="inlineStr">
        <is>
          <t>830116500</t>
        </is>
      </c>
      <c r="B214" t="inlineStr">
        <is>
          <t>199</t>
        </is>
      </c>
      <c r="C214" t="inlineStr">
        <is>
          <t>199</t>
        </is>
      </c>
      <c r="D214" t="n">
        <v>1785000</v>
      </c>
      <c r="E214" t="inlineStr">
        <is>
          <t>ICEBERG COMPANY SAS</t>
        </is>
      </c>
    </row>
    <row r="215">
      <c r="A215" t="inlineStr">
        <is>
          <t>830116500</t>
        </is>
      </c>
      <c r="B215" t="inlineStr">
        <is>
          <t>75</t>
        </is>
      </c>
      <c r="C215" t="inlineStr">
        <is>
          <t>2</t>
        </is>
      </c>
      <c r="D215" t="n">
        <v>21366450</v>
      </c>
      <c r="E215" t="inlineStr">
        <is>
          <t>LGP CONSULTING S.A.S.</t>
        </is>
      </c>
    </row>
    <row r="216">
      <c r="A216" t="inlineStr">
        <is>
          <t>830116500</t>
        </is>
      </c>
      <c r="B216" t="inlineStr">
        <is>
          <t>13680544</t>
        </is>
      </c>
      <c r="C216" t="inlineStr">
        <is>
          <t>202</t>
        </is>
      </c>
      <c r="D216" t="n">
        <v>3570000</v>
      </c>
      <c r="E216" t="inlineStr">
        <is>
          <t>ARG DATA SAS</t>
        </is>
      </c>
    </row>
    <row r="217">
      <c r="A217" t="inlineStr">
        <is>
          <t>830116500</t>
        </is>
      </c>
      <c r="B217" t="inlineStr">
        <is>
          <t>900122</t>
        </is>
      </c>
      <c r="C217" t="inlineStr">
        <is>
          <t>208093</t>
        </is>
      </c>
      <c r="D217" t="n">
        <v>16850</v>
      </c>
      <c r="E217" t="inlineStr">
        <is>
          <t>D1 S A S</t>
        </is>
      </c>
    </row>
    <row r="218">
      <c r="A218" t="inlineStr">
        <is>
          <t>830116500</t>
        </is>
      </c>
      <c r="B218" t="inlineStr">
        <is>
          <t>309266</t>
        </is>
      </c>
      <c r="C218" t="inlineStr">
        <is>
          <t>21215</t>
        </is>
      </c>
      <c r="D218" t="n">
        <v>120000</v>
      </c>
      <c r="E218" t="inlineStr">
        <is>
          <t>SUITES ROSALES SA</t>
        </is>
      </c>
    </row>
    <row r="219">
      <c r="A219" t="inlineStr">
        <is>
          <t>830116500</t>
        </is>
      </c>
      <c r="B219" t="inlineStr">
        <is>
          <t>15159</t>
        </is>
      </c>
      <c r="C219" t="inlineStr">
        <is>
          <t>2125</t>
        </is>
      </c>
      <c r="D219" t="n">
        <v>2800000</v>
      </c>
      <c r="E219" t="inlineStr">
        <is>
          <t>5 EXPRESS SERVICIOS SAS</t>
        </is>
      </c>
    </row>
    <row r="220">
      <c r="A220" t="inlineStr">
        <is>
          <t>830116500</t>
        </is>
      </c>
      <c r="B220" t="inlineStr">
        <is>
          <t>26812</t>
        </is>
      </c>
      <c r="C220" t="inlineStr">
        <is>
          <t>2175</t>
        </is>
      </c>
      <c r="D220" t="n">
        <v>449998.5</v>
      </c>
      <c r="E220" t="inlineStr">
        <is>
          <t>GOLDRAGON SAS</t>
        </is>
      </c>
    </row>
    <row r="221">
      <c r="A221" t="inlineStr">
        <is>
          <t>830116500</t>
        </is>
      </c>
      <c r="B221" t="inlineStr">
        <is>
          <t>22</t>
        </is>
      </c>
      <c r="C221" t="inlineStr">
        <is>
          <t>21761</t>
        </is>
      </c>
      <c r="D221" t="n">
        <v>1278572</v>
      </c>
      <c r="E221" t="inlineStr">
        <is>
          <t>EASYTAXI COLOMBIA SAS</t>
        </is>
      </c>
    </row>
    <row r="222">
      <c r="A222" t="inlineStr">
        <is>
          <t>830116500</t>
        </is>
      </c>
      <c r="B222" t="inlineStr">
        <is>
          <t>29</t>
        </is>
      </c>
      <c r="C222" t="inlineStr">
        <is>
          <t>2177</t>
        </is>
      </c>
      <c r="D222" t="n">
        <v>794999.73</v>
      </c>
      <c r="E222" t="inlineStr">
        <is>
          <t>GOLDRAGON SAS</t>
        </is>
      </c>
    </row>
    <row r="223">
      <c r="A223" t="inlineStr">
        <is>
          <t>830116500</t>
        </is>
      </c>
      <c r="B223" t="inlineStr">
        <is>
          <t>31378223</t>
        </is>
      </c>
      <c r="C223" t="inlineStr">
        <is>
          <t>22378</t>
        </is>
      </c>
      <c r="D223" t="n">
        <v>85000</v>
      </c>
      <c r="E223" t="inlineStr">
        <is>
          <t>JAIRO GANDUR ABUABARA</t>
        </is>
      </c>
    </row>
    <row r="224">
      <c r="A224" t="inlineStr">
        <is>
          <t>830116500</t>
        </is>
      </c>
      <c r="B224" t="inlineStr">
        <is>
          <t>899363</t>
        </is>
      </c>
      <c r="C224" t="inlineStr">
        <is>
          <t>22379</t>
        </is>
      </c>
      <c r="D224" t="n">
        <v>85000</v>
      </c>
      <c r="E224" t="inlineStr">
        <is>
          <t>JAIRO GANDUR ABUABARA</t>
        </is>
      </c>
    </row>
    <row r="225">
      <c r="A225" t="inlineStr">
        <is>
          <t>830116500</t>
        </is>
      </c>
      <c r="B225" t="inlineStr">
        <is>
          <t>183</t>
        </is>
      </c>
      <c r="C225" t="inlineStr">
        <is>
          <t>23031</t>
        </is>
      </c>
      <c r="D225" t="n">
        <v>225000</v>
      </c>
      <c r="E225" t="inlineStr">
        <is>
          <t>HOTELES INTERESCORIAL S.A.S.</t>
        </is>
      </c>
    </row>
    <row r="226">
      <c r="A226" t="inlineStr">
        <is>
          <t>830116500</t>
        </is>
      </c>
      <c r="B226" t="inlineStr">
        <is>
          <t>174976</t>
        </is>
      </c>
      <c r="C226" t="inlineStr">
        <is>
          <t>23503094</t>
        </is>
      </c>
      <c r="D226" t="n">
        <v>8800</v>
      </c>
      <c r="E226" t="inlineStr">
        <is>
          <t>COLOMBIA TELECOMUNICACIONES S.A. E.S.P. BIC</t>
        </is>
      </c>
    </row>
    <row r="227">
      <c r="A227" t="inlineStr">
        <is>
          <t>830116500</t>
        </is>
      </c>
      <c r="B227" t="inlineStr">
        <is>
          <t>3244</t>
        </is>
      </c>
      <c r="C227" t="inlineStr">
        <is>
          <t>235932</t>
        </is>
      </c>
      <c r="D227" t="n">
        <v>21300</v>
      </c>
      <c r="E227" t="inlineStr">
        <is>
          <t>JERONIMO MARTINS COLOMBIA S.A.S.</t>
        </is>
      </c>
    </row>
    <row r="228">
      <c r="A228" t="inlineStr">
        <is>
          <t>830116500</t>
        </is>
      </c>
      <c r="B228" t="inlineStr">
        <is>
          <t>899363</t>
        </is>
      </c>
      <c r="C228" t="inlineStr">
        <is>
          <t>235933</t>
        </is>
      </c>
      <c r="D228" t="n">
        <v>15500</v>
      </c>
      <c r="E228" t="inlineStr">
        <is>
          <t>JERONIMO MARTINS COLOMBIA S.A.S.</t>
        </is>
      </c>
    </row>
    <row r="229">
      <c r="A229" t="inlineStr">
        <is>
          <t>830116500</t>
        </is>
      </c>
      <c r="B229" t="inlineStr">
        <is>
          <t>1856</t>
        </is>
      </c>
      <c r="C229" t="inlineStr">
        <is>
          <t>2401</t>
        </is>
      </c>
      <c r="D229" t="n">
        <v>18000</v>
      </c>
      <c r="E229" t="inlineStr">
        <is>
          <t>COLOMBIA PAN Y CANELA SAS</t>
        </is>
      </c>
    </row>
    <row r="230">
      <c r="A230" t="inlineStr">
        <is>
          <t>830116500</t>
        </is>
      </c>
      <c r="B230" t="inlineStr">
        <is>
          <t>292376004</t>
        </is>
      </c>
      <c r="C230" t="inlineStr">
        <is>
          <t>25167</t>
        </is>
      </c>
      <c r="D230" t="n">
        <v>89200</v>
      </c>
      <c r="E230" t="inlineStr">
        <is>
          <t>INVERSIONES DHA SAS</t>
        </is>
      </c>
    </row>
    <row r="231">
      <c r="A231" t="inlineStr">
        <is>
          <t>830116500</t>
        </is>
      </c>
      <c r="B231" t="inlineStr">
        <is>
          <t>563660</t>
        </is>
      </c>
      <c r="C231" t="inlineStr">
        <is>
          <t>260015</t>
        </is>
      </c>
      <c r="D231" t="n">
        <v>13900</v>
      </c>
      <c r="E231" t="inlineStr">
        <is>
          <t>JERONIMO MARTINS COLOMBIA S.A.S.</t>
        </is>
      </c>
    </row>
    <row r="232">
      <c r="A232" t="inlineStr">
        <is>
          <t>830116500</t>
        </is>
      </c>
      <c r="B232" t="inlineStr">
        <is>
          <t>563660</t>
        </is>
      </c>
      <c r="C232" t="inlineStr">
        <is>
          <t>260017</t>
        </is>
      </c>
      <c r="D232" t="n">
        <v>15050</v>
      </c>
      <c r="E232" t="inlineStr">
        <is>
          <t>JERONIMO MARTINS COLOMBIA S.A.S.</t>
        </is>
      </c>
    </row>
    <row r="233">
      <c r="A233" t="inlineStr">
        <is>
          <t>830116500</t>
        </is>
      </c>
      <c r="B233" t="inlineStr">
        <is>
          <t>309266</t>
        </is>
      </c>
      <c r="C233" t="inlineStr">
        <is>
          <t>264255</t>
        </is>
      </c>
      <c r="D233" t="n">
        <v>78000</v>
      </c>
      <c r="E233" t="inlineStr">
        <is>
          <t>MI ECONOMIA SAS</t>
        </is>
      </c>
    </row>
    <row r="234">
      <c r="A234" t="inlineStr">
        <is>
          <t>830116500</t>
        </is>
      </c>
      <c r="B234" t="inlineStr">
        <is>
          <t>22</t>
        </is>
      </c>
      <c r="C234" t="inlineStr">
        <is>
          <t>26812</t>
        </is>
      </c>
      <c r="D234" t="n">
        <v>1952000</v>
      </c>
      <c r="E234" t="inlineStr">
        <is>
          <t>EDIFICIO PLAZA 67 PROPIEDAD HORIZONTAL</t>
        </is>
      </c>
    </row>
    <row r="235">
      <c r="A235" t="inlineStr">
        <is>
          <t>830116500</t>
        </is>
      </c>
      <c r="B235" t="inlineStr">
        <is>
          <t>26813</t>
        </is>
      </c>
      <c r="C235" t="inlineStr">
        <is>
          <t>26813</t>
        </is>
      </c>
      <c r="D235" t="n">
        <v>2788000</v>
      </c>
      <c r="E235" t="inlineStr">
        <is>
          <t>EDIFICIO PLAZA 67 PROPIEDAD HORIZONTAL</t>
        </is>
      </c>
    </row>
    <row r="236">
      <c r="A236" t="inlineStr">
        <is>
          <t>830116500</t>
        </is>
      </c>
      <c r="B236" t="inlineStr">
        <is>
          <t>26880</t>
        </is>
      </c>
      <c r="C236" t="inlineStr">
        <is>
          <t>26880</t>
        </is>
      </c>
      <c r="D236" t="n">
        <v>313971</v>
      </c>
      <c r="E236" t="inlineStr">
        <is>
          <t>EDIFICIO PLAZA 67 PROPIEDAD HORIZONTAL</t>
        </is>
      </c>
    </row>
    <row r="237">
      <c r="A237" t="inlineStr">
        <is>
          <t>830116500</t>
        </is>
      </c>
      <c r="B237" t="inlineStr">
        <is>
          <t>115459</t>
        </is>
      </c>
      <c r="C237" t="inlineStr">
        <is>
          <t>26904</t>
        </is>
      </c>
      <c r="D237" t="n">
        <v>45182</v>
      </c>
      <c r="E237" t="inlineStr">
        <is>
          <t>EDIFICIO PLAZA 67 PROPIEDAD HORIZONTAL</t>
        </is>
      </c>
    </row>
    <row r="238">
      <c r="A238" t="inlineStr">
        <is>
          <t>830116500</t>
        </is>
      </c>
      <c r="B238" t="inlineStr">
        <is>
          <t>710</t>
        </is>
      </c>
      <c r="C238" t="inlineStr">
        <is>
          <t>26941</t>
        </is>
      </c>
      <c r="D238" t="n">
        <v>244988</v>
      </c>
      <c r="E238" t="inlineStr">
        <is>
          <t>EDIFICIO PLAZA 67 PROPIEDAD HORIZONTAL</t>
        </is>
      </c>
    </row>
    <row r="239">
      <c r="A239" t="inlineStr">
        <is>
          <t>830116500</t>
        </is>
      </c>
      <c r="B239" t="inlineStr">
        <is>
          <t>18239</t>
        </is>
      </c>
      <c r="C239" t="inlineStr">
        <is>
          <t>26942</t>
        </is>
      </c>
      <c r="D239" t="n">
        <v>1029745</v>
      </c>
      <c r="E239" t="inlineStr">
        <is>
          <t>EDIFICIO PLAZA 67 PROPIEDAD HORIZONTAL</t>
        </is>
      </c>
    </row>
    <row r="240">
      <c r="A240" t="inlineStr">
        <is>
          <t>830116500</t>
        </is>
      </c>
      <c r="B240" t="inlineStr">
        <is>
          <t>900122</t>
        </is>
      </c>
      <c r="C240" t="inlineStr">
        <is>
          <t>26973</t>
        </is>
      </c>
      <c r="D240" t="n">
        <v>90462</v>
      </c>
      <c r="E240" t="inlineStr">
        <is>
          <t>EDIFICIO PLAZA 67 PROPIEDAD HORIZONTAL</t>
        </is>
      </c>
    </row>
    <row r="241">
      <c r="A241" t="inlineStr">
        <is>
          <t>830116500</t>
        </is>
      </c>
      <c r="B241" t="inlineStr">
        <is>
          <t>15252</t>
        </is>
      </c>
      <c r="C241" t="inlineStr">
        <is>
          <t>2790</t>
        </is>
      </c>
      <c r="D241" t="n">
        <v>1902300</v>
      </c>
      <c r="E241" t="inlineStr">
        <is>
          <t>MERIDIAN SERVICIOS TEMPORALES MIN SAS</t>
        </is>
      </c>
    </row>
    <row r="242">
      <c r="A242" t="inlineStr">
        <is>
          <t>830116500</t>
        </is>
      </c>
      <c r="B242" t="inlineStr">
        <is>
          <t>3244</t>
        </is>
      </c>
      <c r="C242" t="inlineStr">
        <is>
          <t>28113</t>
        </is>
      </c>
      <c r="D242" t="n">
        <v>21420</v>
      </c>
      <c r="E242" t="inlineStr">
        <is>
          <t>BANNER XPRESS SAS</t>
        </is>
      </c>
    </row>
    <row r="243">
      <c r="A243" t="inlineStr">
        <is>
          <t>830116500</t>
        </is>
      </c>
      <c r="B243" t="inlineStr">
        <is>
          <t>281464</t>
        </is>
      </c>
      <c r="C243" t="inlineStr">
        <is>
          <t>281464</t>
        </is>
      </c>
      <c r="D243" t="n">
        <v>195598</v>
      </c>
      <c r="E243" t="inlineStr">
        <is>
          <t>COMBUSTIBLES H &amp; R LTDA.</t>
        </is>
      </c>
    </row>
    <row r="244">
      <c r="A244" t="inlineStr">
        <is>
          <t>830116500</t>
        </is>
      </c>
      <c r="B244" t="inlineStr">
        <is>
          <t>27</t>
        </is>
      </c>
      <c r="C244" t="inlineStr">
        <is>
          <t>2863</t>
        </is>
      </c>
      <c r="D244" t="n">
        <v>1666000</v>
      </c>
      <c r="E244" t="inlineStr">
        <is>
          <t>PRODSEIN S.A.S.</t>
        </is>
      </c>
    </row>
    <row r="245">
      <c r="A245" t="inlineStr">
        <is>
          <t>830116500</t>
        </is>
      </c>
      <c r="B245" t="inlineStr">
        <is>
          <t>29</t>
        </is>
      </c>
      <c r="C245" t="inlineStr">
        <is>
          <t>29</t>
        </is>
      </c>
      <c r="D245" t="n">
        <v>22000000.2</v>
      </c>
      <c r="E245" t="inlineStr">
        <is>
          <t>EMPRESA DE SERVICIOS, TRANSPORTE Y SUMINISTROS S.A.S</t>
        </is>
      </c>
    </row>
    <row r="246">
      <c r="A246" t="inlineStr">
        <is>
          <t>830116500</t>
        </is>
      </c>
      <c r="B246" t="inlineStr">
        <is>
          <t>2175</t>
        </is>
      </c>
      <c r="C246" t="inlineStr">
        <is>
          <t>292376004</t>
        </is>
      </c>
      <c r="D246" t="n">
        <v>433308.75</v>
      </c>
      <c r="E246" t="inlineStr">
        <is>
          <t>COMUNICACION CELULAR S A  COMCEL S A</t>
        </is>
      </c>
    </row>
    <row r="247">
      <c r="A247" t="inlineStr">
        <is>
          <t>830116500</t>
        </is>
      </c>
      <c r="B247" t="inlineStr">
        <is>
          <t>8976</t>
        </is>
      </c>
      <c r="C247" t="inlineStr">
        <is>
          <t>29434</t>
        </is>
      </c>
      <c r="D247" t="n">
        <v>170000</v>
      </c>
      <c r="E247" t="inlineStr">
        <is>
          <t>ESTYLO CONSTRUCCIONES SAS</t>
        </is>
      </c>
    </row>
    <row r="248">
      <c r="A248" t="inlineStr">
        <is>
          <t>86072643</t>
        </is>
      </c>
      <c r="B248" t="inlineStr">
        <is>
          <t>2790</t>
        </is>
      </c>
      <c r="C248" t="inlineStr">
        <is>
          <t>3020218</t>
        </is>
      </c>
      <c r="D248" t="n">
        <v>1925000</v>
      </c>
      <c r="E248" t="inlineStr">
        <is>
          <t>MERIDIAN CONSULTING LTDA</t>
        </is>
      </c>
    </row>
    <row r="249">
      <c r="A249" t="inlineStr">
        <is>
          <t>830126302</t>
        </is>
      </c>
      <c r="B249" t="inlineStr">
        <is>
          <t>19</t>
        </is>
      </c>
      <c r="C249" t="inlineStr">
        <is>
          <t>3020224</t>
        </is>
      </c>
      <c r="D249" t="n">
        <v>192912.09</v>
      </c>
      <c r="E249" t="inlineStr">
        <is>
          <t>MERIDIAN CONSULTING LTDA</t>
        </is>
      </c>
    </row>
    <row r="250">
      <c r="A250" t="inlineStr">
        <is>
          <t>900324784</t>
        </is>
      </c>
      <c r="B250" t="inlineStr">
        <is>
          <t>27</t>
        </is>
      </c>
      <c r="C250" t="inlineStr">
        <is>
          <t>3020227</t>
        </is>
      </c>
      <c r="D250" t="n">
        <v>5950000</v>
      </c>
      <c r="E250" t="inlineStr">
        <is>
          <t>MERIDIAN CONSULTING LTDA</t>
        </is>
      </c>
    </row>
    <row r="251">
      <c r="A251" t="inlineStr">
        <is>
          <t>830126302</t>
        </is>
      </c>
      <c r="B251" t="inlineStr">
        <is>
          <t>26812</t>
        </is>
      </c>
      <c r="C251" t="inlineStr">
        <is>
          <t>3020228</t>
        </is>
      </c>
      <c r="D251" t="n">
        <v>465000</v>
      </c>
      <c r="E251" t="inlineStr">
        <is>
          <t>MERIDIAN CONSULTING LTDA</t>
        </is>
      </c>
    </row>
    <row r="252">
      <c r="A252" t="inlineStr">
        <is>
          <t>830126302</t>
        </is>
      </c>
      <c r="B252" t="inlineStr">
        <is>
          <t>8225356</t>
        </is>
      </c>
      <c r="C252" t="inlineStr">
        <is>
          <t>3020229</t>
        </is>
      </c>
      <c r="D252" t="n">
        <v>55335</v>
      </c>
      <c r="E252" t="inlineStr">
        <is>
          <t>MERIDIAN CONSULTING LTDA</t>
        </is>
      </c>
    </row>
    <row r="253">
      <c r="A253" t="inlineStr">
        <is>
          <t>899999068</t>
        </is>
      </c>
      <c r="B253" t="inlineStr">
        <is>
          <t>900122</t>
        </is>
      </c>
      <c r="C253" t="inlineStr">
        <is>
          <t>3020230</t>
        </is>
      </c>
      <c r="D253" t="n">
        <v>1334755.17</v>
      </c>
      <c r="E253" t="inlineStr">
        <is>
          <t>MERIDIAN CONSULTING LTDA</t>
        </is>
      </c>
    </row>
    <row r="254">
      <c r="A254" t="inlineStr">
        <is>
          <t>899999068</t>
        </is>
      </c>
      <c r="B254" t="inlineStr">
        <is>
          <t>61</t>
        </is>
      </c>
      <c r="C254" t="inlineStr">
        <is>
          <t>3020233</t>
        </is>
      </c>
      <c r="D254" t="n">
        <v>43017567.04</v>
      </c>
      <c r="E254" t="inlineStr">
        <is>
          <t>MERIDIAN CONSULTING LTDA</t>
        </is>
      </c>
    </row>
    <row r="255">
      <c r="A255" t="inlineStr">
        <is>
          <t>899999068</t>
        </is>
      </c>
      <c r="B255" t="inlineStr">
        <is>
          <t>61</t>
        </is>
      </c>
      <c r="C255" t="inlineStr">
        <is>
          <t>3020241</t>
        </is>
      </c>
      <c r="D255" t="n">
        <v>49279452.95</v>
      </c>
      <c r="E255" t="inlineStr">
        <is>
          <t>MERIDIAN CONSULTING LTDA</t>
        </is>
      </c>
    </row>
    <row r="256">
      <c r="A256" t="inlineStr">
        <is>
          <t>899999068</t>
        </is>
      </c>
      <c r="B256" t="inlineStr">
        <is>
          <t>8849</t>
        </is>
      </c>
      <c r="C256" t="inlineStr">
        <is>
          <t>3020244</t>
        </is>
      </c>
      <c r="D256" t="n">
        <v>9582112.050000001</v>
      </c>
      <c r="E256" t="inlineStr">
        <is>
          <t>MERIDIAN CONSULTING LTDA</t>
        </is>
      </c>
    </row>
    <row r="257">
      <c r="A257" t="inlineStr">
        <is>
          <t>899999068</t>
        </is>
      </c>
      <c r="B257" t="inlineStr">
        <is>
          <t>27</t>
        </is>
      </c>
      <c r="C257" t="inlineStr">
        <is>
          <t>3020248</t>
        </is>
      </c>
      <c r="D257" t="n">
        <v>35458186.05</v>
      </c>
      <c r="E257" t="inlineStr">
        <is>
          <t>MERIDIAN CONSULTING LTDA</t>
        </is>
      </c>
    </row>
    <row r="258">
      <c r="A258" t="inlineStr">
        <is>
          <t>899999068</t>
        </is>
      </c>
      <c r="B258" t="inlineStr">
        <is>
          <t>27</t>
        </is>
      </c>
      <c r="C258" t="inlineStr">
        <is>
          <t>3020251</t>
        </is>
      </c>
      <c r="D258" t="n">
        <v>32976113.8</v>
      </c>
      <c r="E258" t="inlineStr">
        <is>
          <t>MERIDIAN CONSULTING LTDA</t>
        </is>
      </c>
    </row>
    <row r="259">
      <c r="A259" t="inlineStr">
        <is>
          <t>830126302</t>
        </is>
      </c>
      <c r="B259" t="inlineStr">
        <is>
          <t>899363</t>
        </is>
      </c>
      <c r="C259" t="inlineStr">
        <is>
          <t>3020252</t>
        </is>
      </c>
      <c r="D259" t="n">
        <v>17768247</v>
      </c>
      <c r="E259" t="inlineStr">
        <is>
          <t>MERIDIAN CONSULTING LTDA</t>
        </is>
      </c>
    </row>
    <row r="260">
      <c r="A260" t="inlineStr">
        <is>
          <t>830116500</t>
        </is>
      </c>
      <c r="B260" t="inlineStr">
        <is>
          <t>309266</t>
        </is>
      </c>
      <c r="C260" t="inlineStr">
        <is>
          <t>309266</t>
        </is>
      </c>
      <c r="D260" t="n">
        <v>4087700</v>
      </c>
      <c r="E260" t="inlineStr">
        <is>
          <t>LABORATORIO CLINICO COLMEDICOS IPS SAS</t>
        </is>
      </c>
    </row>
    <row r="261">
      <c r="A261" t="inlineStr">
        <is>
          <t>830116500</t>
        </is>
      </c>
      <c r="B261" t="inlineStr">
        <is>
          <t>23031</t>
        </is>
      </c>
      <c r="C261" t="inlineStr">
        <is>
          <t>313579</t>
        </is>
      </c>
      <c r="D261" t="n">
        <v>180000</v>
      </c>
      <c r="E261" t="inlineStr">
        <is>
          <t>PRICE RES S A S</t>
        </is>
      </c>
    </row>
    <row r="262">
      <c r="A262" t="inlineStr">
        <is>
          <t>830116500</t>
        </is>
      </c>
      <c r="B262" t="inlineStr">
        <is>
          <t>31378223</t>
        </is>
      </c>
      <c r="C262" t="inlineStr">
        <is>
          <t>31378223</t>
        </is>
      </c>
      <c r="D262" t="n">
        <v>1626917.73</v>
      </c>
      <c r="E262" t="inlineStr">
        <is>
          <t>COLOMBIA TELECOMUNICACIONES S.A. E.S.P. BIC</t>
        </is>
      </c>
    </row>
    <row r="263">
      <c r="A263" t="inlineStr">
        <is>
          <t>830116500</t>
        </is>
      </c>
      <c r="B263" t="inlineStr">
        <is>
          <t>309266</t>
        </is>
      </c>
      <c r="C263" t="inlineStr">
        <is>
          <t>3205</t>
        </is>
      </c>
      <c r="D263" t="n">
        <v>99960</v>
      </c>
      <c r="E263" t="inlineStr">
        <is>
          <t>LUZ MARINA DIAZ MOLINA</t>
        </is>
      </c>
    </row>
    <row r="264">
      <c r="A264" t="inlineStr">
        <is>
          <t>830116500</t>
        </is>
      </c>
      <c r="B264" t="inlineStr">
        <is>
          <t>292376004</t>
        </is>
      </c>
      <c r="C264" t="inlineStr">
        <is>
          <t>3206</t>
        </is>
      </c>
      <c r="D264" t="n">
        <v>95200</v>
      </c>
      <c r="E264" t="inlineStr">
        <is>
          <t>LUZ MARINA DIAZ MOLINA</t>
        </is>
      </c>
    </row>
    <row r="265">
      <c r="A265" t="inlineStr">
        <is>
          <t>830116500</t>
        </is>
      </c>
      <c r="B265" t="inlineStr">
        <is>
          <t>189059</t>
        </is>
      </c>
      <c r="C265" t="inlineStr">
        <is>
          <t>3244</t>
        </is>
      </c>
      <c r="D265" t="n">
        <v>857260</v>
      </c>
      <c r="E265" t="inlineStr">
        <is>
          <t>COMPAÑIA DE SEGUROS COLSANITAS S.A.</t>
        </is>
      </c>
    </row>
    <row r="266">
      <c r="A266" t="inlineStr">
        <is>
          <t>830116500</t>
        </is>
      </c>
      <c r="B266" t="inlineStr">
        <is>
          <t>23031</t>
        </is>
      </c>
      <c r="C266" t="inlineStr">
        <is>
          <t>32954</t>
        </is>
      </c>
      <c r="D266" t="n">
        <v>35820</v>
      </c>
      <c r="E266" t="inlineStr">
        <is>
          <t>DISTRIBUIDORA COLOMBINA LTDA.</t>
        </is>
      </c>
    </row>
    <row r="267">
      <c r="A267" t="inlineStr">
        <is>
          <t>830116500</t>
        </is>
      </c>
      <c r="B267" t="inlineStr">
        <is>
          <t>1476</t>
        </is>
      </c>
      <c r="C267" t="inlineStr">
        <is>
          <t>33700</t>
        </is>
      </c>
      <c r="D267" t="n">
        <v>98965.16</v>
      </c>
      <c r="E267" t="inlineStr">
        <is>
          <t>BAQUERO CASTRO MAURO ARTURO</t>
        </is>
      </c>
    </row>
    <row r="268">
      <c r="A268" t="inlineStr">
        <is>
          <t>830116500</t>
        </is>
      </c>
      <c r="B268" t="inlineStr">
        <is>
          <t>26880</t>
        </is>
      </c>
      <c r="C268" t="inlineStr">
        <is>
          <t>370502518</t>
        </is>
      </c>
      <c r="D268" t="n">
        <v>306780</v>
      </c>
      <c r="E268" t="inlineStr">
        <is>
          <t>ENEL COLOMBIA S.A E.S.P</t>
        </is>
      </c>
    </row>
    <row r="269">
      <c r="A269" t="inlineStr">
        <is>
          <t>830116500</t>
        </is>
      </c>
      <c r="B269" t="inlineStr">
        <is>
          <t>143</t>
        </is>
      </c>
      <c r="C269" t="inlineStr">
        <is>
          <t>385920</t>
        </is>
      </c>
      <c r="D269" t="n">
        <v>330900</v>
      </c>
      <c r="E269" t="inlineStr">
        <is>
          <t>CDA MOVILIDAD BOGOTA SAS</t>
        </is>
      </c>
    </row>
    <row r="270">
      <c r="A270" t="inlineStr">
        <is>
          <t>830116500</t>
        </is>
      </c>
      <c r="B270" t="inlineStr">
        <is>
          <t>309266</t>
        </is>
      </c>
      <c r="C270" t="inlineStr">
        <is>
          <t>386130</t>
        </is>
      </c>
      <c r="D270" t="n">
        <v>496730</v>
      </c>
      <c r="E270" t="inlineStr">
        <is>
          <t>SERVICIO AEREO A TERRITORIOS NACIONALES S.A.</t>
        </is>
      </c>
    </row>
    <row r="271">
      <c r="A271" t="inlineStr">
        <is>
          <t>830116500</t>
        </is>
      </c>
      <c r="B271" t="inlineStr">
        <is>
          <t>849885</t>
        </is>
      </c>
      <c r="C271" t="inlineStr">
        <is>
          <t>388034</t>
        </is>
      </c>
      <c r="D271" t="n">
        <v>291250</v>
      </c>
      <c r="E271" t="inlineStr">
        <is>
          <t>SERVICIO AEREO A TERRITORIOS NACIONALES S.A.</t>
        </is>
      </c>
    </row>
    <row r="272">
      <c r="A272" t="inlineStr">
        <is>
          <t>830116500</t>
        </is>
      </c>
      <c r="B272" t="inlineStr">
        <is>
          <t>235933</t>
        </is>
      </c>
      <c r="C272" t="inlineStr">
        <is>
          <t>388073</t>
        </is>
      </c>
      <c r="D272" t="n">
        <v>16000</v>
      </c>
      <c r="E272" t="inlineStr">
        <is>
          <t>CADENA COMERCIAL OXXO COLOMBIA S A S</t>
        </is>
      </c>
    </row>
    <row r="273">
      <c r="A273" t="inlineStr">
        <is>
          <t>830116500</t>
        </is>
      </c>
      <c r="B273" t="inlineStr">
        <is>
          <t>23542</t>
        </is>
      </c>
      <c r="C273" t="inlineStr">
        <is>
          <t>388110</t>
        </is>
      </c>
      <c r="D273" t="n">
        <v>4600</v>
      </c>
      <c r="E273" t="inlineStr">
        <is>
          <t>CADENA COMERCIAL OXXO COLOMBIA S A S</t>
        </is>
      </c>
    </row>
    <row r="274">
      <c r="A274" t="inlineStr">
        <is>
          <t>830116500</t>
        </is>
      </c>
      <c r="B274" t="inlineStr">
        <is>
          <t>155084</t>
        </is>
      </c>
      <c r="C274" t="inlineStr">
        <is>
          <t>388124</t>
        </is>
      </c>
      <c r="D274" t="n">
        <v>2800</v>
      </c>
      <c r="E274" t="inlineStr">
        <is>
          <t>CADENA COMERCIAL OXXO COLOMBIA S A S</t>
        </is>
      </c>
    </row>
    <row r="275">
      <c r="A275" t="inlineStr">
        <is>
          <t>830116500</t>
        </is>
      </c>
      <c r="B275" t="inlineStr">
        <is>
          <t>419414</t>
        </is>
      </c>
      <c r="C275" t="inlineStr">
        <is>
          <t>419414</t>
        </is>
      </c>
      <c r="D275" t="n">
        <v>158629</v>
      </c>
      <c r="E275" t="inlineStr">
        <is>
          <t>DISTRIBUCIONES HERNANDEZ VELASQUEZ LTDA</t>
        </is>
      </c>
    </row>
    <row r="276">
      <c r="A276" t="inlineStr">
        <is>
          <t>830116500</t>
        </is>
      </c>
      <c r="B276" t="inlineStr">
        <is>
          <t>4447</t>
        </is>
      </c>
      <c r="C276" t="inlineStr">
        <is>
          <t>4447</t>
        </is>
      </c>
      <c r="D276" t="n">
        <v>7266500</v>
      </c>
      <c r="E276" t="inlineStr">
        <is>
          <t>GRANADA PLAZA HOTEL YOPAL SAS</t>
        </is>
      </c>
    </row>
    <row r="277">
      <c r="A277" t="inlineStr">
        <is>
          <t>830116500</t>
        </is>
      </c>
      <c r="B277" t="inlineStr">
        <is>
          <t>13</t>
        </is>
      </c>
      <c r="C277" t="inlineStr">
        <is>
          <t>47</t>
        </is>
      </c>
      <c r="D277" t="n">
        <v>30421160</v>
      </c>
      <c r="E277" t="inlineStr">
        <is>
          <t>CRISTANCHO MONTENEGRO DANIEL IVAN</t>
        </is>
      </c>
    </row>
    <row r="278">
      <c r="A278" t="inlineStr">
        <is>
          <t>830116500</t>
        </is>
      </c>
      <c r="B278" t="inlineStr">
        <is>
          <t>18239</t>
        </is>
      </c>
      <c r="C278" t="inlineStr">
        <is>
          <t>485540321</t>
        </is>
      </c>
      <c r="D278" t="n">
        <v>574392</v>
      </c>
      <c r="E278" t="inlineStr">
        <is>
          <t>COLOMBIA TELECOMUNICACIONES S.A. E.S.P. BIC</t>
        </is>
      </c>
    </row>
    <row r="279">
      <c r="A279" t="inlineStr">
        <is>
          <t>830116500</t>
        </is>
      </c>
      <c r="B279" t="inlineStr">
        <is>
          <t>710</t>
        </is>
      </c>
      <c r="C279" t="inlineStr">
        <is>
          <t>49385195</t>
        </is>
      </c>
      <c r="D279" t="n">
        <v>43700</v>
      </c>
      <c r="E279" t="inlineStr">
        <is>
          <t>INTER RAPIDISIMO S.A</t>
        </is>
      </c>
    </row>
    <row r="280">
      <c r="A280" t="inlineStr">
        <is>
          <t>830116500</t>
        </is>
      </c>
      <c r="B280" t="inlineStr">
        <is>
          <t>309266</t>
        </is>
      </c>
      <c r="C280" t="inlineStr">
        <is>
          <t>50</t>
        </is>
      </c>
      <c r="D280" t="n">
        <v>150000</v>
      </c>
      <c r="E280" t="inlineStr">
        <is>
          <t>OSPITIA SILVA IRMA</t>
        </is>
      </c>
    </row>
    <row r="281">
      <c r="A281" t="inlineStr">
        <is>
          <t>830116500</t>
        </is>
      </c>
      <c r="B281" t="inlineStr">
        <is>
          <t>134</t>
        </is>
      </c>
      <c r="C281" t="inlineStr">
        <is>
          <t>50058</t>
        </is>
      </c>
      <c r="D281" t="n">
        <v>16593360</v>
      </c>
      <c r="E281" t="inlineStr">
        <is>
          <t>AMAYA ESPITIA ALBERTO VLADIMIR</t>
        </is>
      </c>
    </row>
    <row r="282">
      <c r="A282" t="inlineStr">
        <is>
          <t>830116500</t>
        </is>
      </c>
      <c r="B282" t="inlineStr">
        <is>
          <t>16008237330</t>
        </is>
      </c>
      <c r="C282" t="inlineStr">
        <is>
          <t>506338</t>
        </is>
      </c>
      <c r="D282" t="n">
        <v>7100</v>
      </c>
      <c r="E282" t="inlineStr">
        <is>
          <t>COLVANES S.A.S</t>
        </is>
      </c>
    </row>
    <row r="283">
      <c r="A283" t="inlineStr">
        <is>
          <t>830116500</t>
        </is>
      </c>
      <c r="B283" t="inlineStr">
        <is>
          <t>1856</t>
        </is>
      </c>
      <c r="C283" t="inlineStr">
        <is>
          <t>506434</t>
        </is>
      </c>
      <c r="D283" t="n">
        <v>19375</v>
      </c>
      <c r="E283" t="inlineStr">
        <is>
          <t>COLVANES S.A.S</t>
        </is>
      </c>
    </row>
    <row r="284">
      <c r="A284" t="inlineStr">
        <is>
          <t>830116500</t>
        </is>
      </c>
      <c r="B284" t="inlineStr"/>
      <c r="C284" t="inlineStr">
        <is>
          <t>508223</t>
        </is>
      </c>
      <c r="D284" t="n">
        <v>53675</v>
      </c>
      <c r="E284" t="inlineStr">
        <is>
          <t>COLVANES S.A.S</t>
        </is>
      </c>
    </row>
    <row r="285">
      <c r="A285" t="inlineStr">
        <is>
          <t>830116500</t>
        </is>
      </c>
      <c r="B285" t="inlineStr">
        <is>
          <t>16008237319</t>
        </is>
      </c>
      <c r="C285" t="inlineStr">
        <is>
          <t>509512</t>
        </is>
      </c>
      <c r="D285" t="n">
        <v>8700</v>
      </c>
      <c r="E285" t="inlineStr">
        <is>
          <t>COLVANES S.A.S</t>
        </is>
      </c>
    </row>
    <row r="286">
      <c r="A286" t="inlineStr">
        <is>
          <t>830116500</t>
        </is>
      </c>
      <c r="B286" t="inlineStr">
        <is>
          <t>23503094</t>
        </is>
      </c>
      <c r="C286" t="inlineStr">
        <is>
          <t>509919</t>
        </is>
      </c>
      <c r="D286" t="n">
        <v>8700</v>
      </c>
      <c r="E286" t="inlineStr">
        <is>
          <t>COLVANES S.A.S</t>
        </is>
      </c>
    </row>
    <row r="287">
      <c r="A287" t="inlineStr">
        <is>
          <t>830116500</t>
        </is>
      </c>
      <c r="B287" t="inlineStr">
        <is>
          <t>4121147</t>
        </is>
      </c>
      <c r="C287" t="inlineStr">
        <is>
          <t>51</t>
        </is>
      </c>
      <c r="D287" t="n">
        <v>10000</v>
      </c>
      <c r="E287" t="inlineStr">
        <is>
          <t>OSPITIA SILVA IRMA</t>
        </is>
      </c>
    </row>
    <row r="288">
      <c r="A288" t="inlineStr">
        <is>
          <t>830116500</t>
        </is>
      </c>
      <c r="B288" t="inlineStr">
        <is>
          <t>102351</t>
        </is>
      </c>
      <c r="C288" t="inlineStr">
        <is>
          <t>5204</t>
        </is>
      </c>
      <c r="D288" t="n">
        <v>52444</v>
      </c>
      <c r="E288" t="inlineStr">
        <is>
          <t>EL COMAL GRUPO EMPRESARIAL GASTRONOMICO S.A.S</t>
        </is>
      </c>
    </row>
    <row r="289">
      <c r="A289" t="inlineStr">
        <is>
          <t>830116500</t>
        </is>
      </c>
      <c r="B289" t="inlineStr">
        <is>
          <t>26813</t>
        </is>
      </c>
      <c r="C289" t="inlineStr">
        <is>
          <t>527138</t>
        </is>
      </c>
      <c r="D289" t="n">
        <v>726100</v>
      </c>
      <c r="E289" t="inlineStr">
        <is>
          <t>EMPRESA AEREA DE SERVICIOS Y FACILITACION LOGISTICA INTEGRAL SA</t>
        </is>
      </c>
    </row>
    <row r="290">
      <c r="A290" t="inlineStr">
        <is>
          <t>830116500</t>
        </is>
      </c>
      <c r="B290" t="inlineStr">
        <is>
          <t>84</t>
        </is>
      </c>
      <c r="C290" t="inlineStr">
        <is>
          <t>527233</t>
        </is>
      </c>
      <c r="D290" t="n">
        <v>684400</v>
      </c>
      <c r="E290" t="inlineStr">
        <is>
          <t>EMPRESA AEREA DE SERVICIOS Y FACILITACION LOGISTICA INTEGRAL SA</t>
        </is>
      </c>
    </row>
    <row r="291">
      <c r="A291" t="inlineStr">
        <is>
          <t>830116500</t>
        </is>
      </c>
      <c r="B291" t="inlineStr">
        <is>
          <t>959</t>
        </is>
      </c>
      <c r="C291" t="inlineStr">
        <is>
          <t>53293</t>
        </is>
      </c>
      <c r="D291" t="n">
        <v>40500</v>
      </c>
      <c r="E291" t="inlineStr">
        <is>
          <t>DONUCOL S.A.</t>
        </is>
      </c>
    </row>
    <row r="292">
      <c r="A292" t="inlineStr">
        <is>
          <t>830116500</t>
        </is>
      </c>
      <c r="B292" t="inlineStr">
        <is>
          <t>74</t>
        </is>
      </c>
      <c r="C292" t="inlineStr">
        <is>
          <t>55801</t>
        </is>
      </c>
      <c r="D292" t="n">
        <v>13756400</v>
      </c>
      <c r="E292" t="inlineStr">
        <is>
          <t>NOVASOFT SAS</t>
        </is>
      </c>
    </row>
    <row r="293">
      <c r="A293" t="inlineStr">
        <is>
          <t>830116500</t>
        </is>
      </c>
      <c r="B293" t="inlineStr">
        <is>
          <t>563660</t>
        </is>
      </c>
      <c r="C293" t="inlineStr">
        <is>
          <t>563660</t>
        </is>
      </c>
      <c r="D293" t="n">
        <v>136100</v>
      </c>
      <c r="E293" t="inlineStr">
        <is>
          <t>COORSERPARK COORDINADORA DE SERVICIOS DE PARQUE CEMENTERIO</t>
        </is>
      </c>
    </row>
    <row r="294">
      <c r="A294" t="inlineStr">
        <is>
          <t>830116500</t>
        </is>
      </c>
      <c r="B294" t="inlineStr">
        <is>
          <t>16008259954</t>
        </is>
      </c>
      <c r="C294" t="inlineStr">
        <is>
          <t>6186</t>
        </is>
      </c>
      <c r="D294" t="n">
        <v>11389.999998</v>
      </c>
      <c r="E294" t="inlineStr">
        <is>
          <t>SUPERTIENDAS Y DROGUERIAS OLIMPICA S.A.</t>
        </is>
      </c>
    </row>
    <row r="295">
      <c r="A295" t="inlineStr">
        <is>
          <t>830116500</t>
        </is>
      </c>
      <c r="B295" t="inlineStr">
        <is>
          <t>16008259954</t>
        </is>
      </c>
      <c r="C295" t="inlineStr">
        <is>
          <t>6186</t>
        </is>
      </c>
      <c r="D295" t="n">
        <v>11389.999998</v>
      </c>
      <c r="E295" t="inlineStr">
        <is>
          <t>SUPERTIENDAS Y DROGUERIAS OLIMPICA S.A.</t>
        </is>
      </c>
    </row>
    <row r="296">
      <c r="A296" t="inlineStr">
        <is>
          <t>830116500</t>
        </is>
      </c>
      <c r="B296" t="inlineStr">
        <is>
          <t>309266</t>
        </is>
      </c>
      <c r="C296" t="inlineStr">
        <is>
          <t>622</t>
        </is>
      </c>
      <c r="D296" t="n">
        <v>160000</v>
      </c>
      <c r="E296" t="inlineStr">
        <is>
          <t>YENY SOFIA  ROMERO BAQUERO</t>
        </is>
      </c>
    </row>
    <row r="297">
      <c r="A297" t="inlineStr">
        <is>
          <t>830116500</t>
        </is>
      </c>
      <c r="B297" t="inlineStr">
        <is>
          <t>134</t>
        </is>
      </c>
      <c r="C297" t="inlineStr">
        <is>
          <t>642</t>
        </is>
      </c>
      <c r="D297" t="n">
        <v>1102091.87</v>
      </c>
      <c r="E297" t="inlineStr">
        <is>
          <t>ER ESTRUCTURAS Y ACABADOS SAS</t>
        </is>
      </c>
    </row>
    <row r="298">
      <c r="A298" t="inlineStr">
        <is>
          <t>830116500</t>
        </is>
      </c>
      <c r="B298" t="inlineStr">
        <is>
          <t>84</t>
        </is>
      </c>
      <c r="C298" t="inlineStr">
        <is>
          <t>644</t>
        </is>
      </c>
      <c r="D298" t="n">
        <v>190008</v>
      </c>
      <c r="E298" t="inlineStr">
        <is>
          <t>LAURA LORENA RODRÍGUEZ HERNÁNDEZ</t>
        </is>
      </c>
    </row>
    <row r="299">
      <c r="A299" t="inlineStr">
        <is>
          <t>830116500</t>
        </is>
      </c>
      <c r="B299" t="inlineStr">
        <is>
          <t>3244</t>
        </is>
      </c>
      <c r="C299" t="inlineStr">
        <is>
          <t>65877393</t>
        </is>
      </c>
      <c r="D299" t="n">
        <v>17610</v>
      </c>
      <c r="E299" t="inlineStr">
        <is>
          <t>VANTI S.A. ESP</t>
        </is>
      </c>
    </row>
    <row r="300">
      <c r="A300" t="inlineStr">
        <is>
          <t>830116500</t>
        </is>
      </c>
      <c r="B300" t="inlineStr">
        <is>
          <t>8229768</t>
        </is>
      </c>
      <c r="C300" t="inlineStr">
        <is>
          <t>6719</t>
        </is>
      </c>
      <c r="D300" t="n">
        <v>70689</v>
      </c>
      <c r="E300" t="inlineStr">
        <is>
          <t>TI360 SAS</t>
        </is>
      </c>
    </row>
    <row r="301">
      <c r="A301" t="inlineStr">
        <is>
          <t>830116500</t>
        </is>
      </c>
      <c r="B301" t="inlineStr">
        <is>
          <t>309266</t>
        </is>
      </c>
      <c r="C301" t="inlineStr">
        <is>
          <t>7078</t>
        </is>
      </c>
      <c r="D301" t="n">
        <v>239999.2</v>
      </c>
      <c r="E301" t="inlineStr">
        <is>
          <t>MARIA ESMERALDA TORRES MORA - HOTEL SAN IGNACIO</t>
        </is>
      </c>
    </row>
    <row r="302">
      <c r="A302" t="inlineStr">
        <is>
          <t>830116500</t>
        </is>
      </c>
      <c r="B302" t="inlineStr">
        <is>
          <t>8491</t>
        </is>
      </c>
      <c r="C302" t="inlineStr">
        <is>
          <t>74</t>
        </is>
      </c>
      <c r="D302" t="n">
        <v>1323280</v>
      </c>
      <c r="E302" t="inlineStr">
        <is>
          <t>MADERO CERVERA JOSE IGNACIO</t>
        </is>
      </c>
    </row>
    <row r="303">
      <c r="A303" t="inlineStr">
        <is>
          <t>830116500</t>
        </is>
      </c>
      <c r="B303" t="inlineStr">
        <is>
          <t>13</t>
        </is>
      </c>
      <c r="C303" t="inlineStr">
        <is>
          <t>74</t>
        </is>
      </c>
      <c r="D303" t="n">
        <v>31112550</v>
      </c>
      <c r="E303" t="inlineStr">
        <is>
          <t>SAMUEL ALEJANDRO NARANJO LEGUIZAMON 01 00</t>
        </is>
      </c>
    </row>
    <row r="304">
      <c r="A304" t="inlineStr">
        <is>
          <t>830116500</t>
        </is>
      </c>
      <c r="B304" t="inlineStr">
        <is>
          <t>29</t>
        </is>
      </c>
      <c r="C304" t="inlineStr">
        <is>
          <t>75</t>
        </is>
      </c>
      <c r="D304" t="n">
        <v>21477120</v>
      </c>
      <c r="E304" t="inlineStr">
        <is>
          <t>SAMUEL ALEJANDRO NARANJO LEGUIZAMON 01 00</t>
        </is>
      </c>
    </row>
    <row r="305">
      <c r="A305" t="inlineStr">
        <is>
          <t>830116500</t>
        </is>
      </c>
      <c r="B305" t="inlineStr">
        <is>
          <t>143</t>
        </is>
      </c>
      <c r="C305" t="inlineStr">
        <is>
          <t>7577</t>
        </is>
      </c>
      <c r="D305" t="n">
        <v>13756400</v>
      </c>
      <c r="E305" t="inlineStr">
        <is>
          <t>NOVASOFT SAS</t>
        </is>
      </c>
    </row>
    <row r="306">
      <c r="A306" t="inlineStr">
        <is>
          <t>830116500</t>
        </is>
      </c>
      <c r="B306" t="inlineStr">
        <is>
          <t>143</t>
        </is>
      </c>
      <c r="C306" t="inlineStr">
        <is>
          <t>7579</t>
        </is>
      </c>
      <c r="D306" t="n">
        <v>11046000</v>
      </c>
      <c r="E306" t="inlineStr">
        <is>
          <t>NOVASOFT SAS</t>
        </is>
      </c>
    </row>
    <row r="307">
      <c r="A307" t="inlineStr">
        <is>
          <t>830116500</t>
        </is>
      </c>
      <c r="B307" t="inlineStr">
        <is>
          <t>23031</t>
        </is>
      </c>
      <c r="C307" t="inlineStr">
        <is>
          <t>7691</t>
        </is>
      </c>
      <c r="D307" t="n">
        <v>6500</v>
      </c>
      <c r="E307" t="inlineStr">
        <is>
          <t>FERRETERIA Y ELECTRICOS LA 15</t>
        </is>
      </c>
    </row>
    <row r="308">
      <c r="A308" t="inlineStr">
        <is>
          <t>830116500</t>
        </is>
      </c>
      <c r="B308" t="inlineStr">
        <is>
          <t>7883</t>
        </is>
      </c>
      <c r="C308" t="inlineStr">
        <is>
          <t>7883</t>
        </is>
      </c>
      <c r="D308" t="n">
        <v>170030</v>
      </c>
      <c r="E308" t="inlineStr">
        <is>
          <t>INVERSIONES CARREÑO GUTIERREZ SAS</t>
        </is>
      </c>
    </row>
    <row r="309">
      <c r="A309" t="inlineStr">
        <is>
          <t>830116500</t>
        </is>
      </c>
      <c r="B309" t="inlineStr">
        <is>
          <t>849885</t>
        </is>
      </c>
      <c r="C309" t="inlineStr">
        <is>
          <t>79</t>
        </is>
      </c>
      <c r="D309" t="n">
        <v>297500</v>
      </c>
      <c r="E309" t="inlineStr">
        <is>
          <t>ROMERO GARCIA LYNDON JHONSON</t>
        </is>
      </c>
    </row>
    <row r="310">
      <c r="A310" t="inlineStr">
        <is>
          <t>830116500</t>
        </is>
      </c>
      <c r="B310" t="inlineStr">
        <is>
          <t>84</t>
        </is>
      </c>
      <c r="C310" t="inlineStr">
        <is>
          <t>8</t>
        </is>
      </c>
      <c r="D310" t="n">
        <v>17376370.46</v>
      </c>
      <c r="E310" t="inlineStr">
        <is>
          <t>ESTUDIO LOPEZ, ARQUITECTURA - INGENIERÍA - AVALÚOS E INMOBILIARIA SAS</t>
        </is>
      </c>
    </row>
    <row r="311">
      <c r="A311" t="inlineStr">
        <is>
          <t>830116500</t>
        </is>
      </c>
      <c r="B311" t="inlineStr">
        <is>
          <t>8491</t>
        </is>
      </c>
      <c r="C311" t="inlineStr">
        <is>
          <t>8491</t>
        </is>
      </c>
      <c r="D311" t="n">
        <v>8848245</v>
      </c>
      <c r="E311" t="inlineStr">
        <is>
          <t>HOTEL SANTA MARIA REAL SAS</t>
        </is>
      </c>
    </row>
    <row r="312">
      <c r="A312" t="inlineStr">
        <is>
          <t>830116500</t>
        </is>
      </c>
      <c r="B312" t="inlineStr">
        <is>
          <t>18239</t>
        </is>
      </c>
      <c r="C312" t="inlineStr">
        <is>
          <t>849885</t>
        </is>
      </c>
      <c r="D312" t="n">
        <v>291538</v>
      </c>
      <c r="E312" t="inlineStr">
        <is>
          <t>DS SERVICIOS COLOMBIA SAS</t>
        </is>
      </c>
    </row>
    <row r="313">
      <c r="A313" t="inlineStr">
        <is>
          <t>830116500</t>
        </is>
      </c>
      <c r="B313" t="inlineStr">
        <is>
          <t>899363</t>
        </is>
      </c>
      <c r="C313" t="inlineStr">
        <is>
          <t>85358</t>
        </is>
      </c>
      <c r="D313" t="n">
        <v>7000</v>
      </c>
      <c r="E313" t="inlineStr">
        <is>
          <t>DROGUERIAS LA 76 S.A.S.</t>
        </is>
      </c>
    </row>
    <row r="314">
      <c r="A314" t="inlineStr">
        <is>
          <t>830116500</t>
        </is>
      </c>
      <c r="B314" t="inlineStr">
        <is>
          <t>50058</t>
        </is>
      </c>
      <c r="C314" t="inlineStr">
        <is>
          <t>85805</t>
        </is>
      </c>
      <c r="D314" t="n">
        <v>2546600</v>
      </c>
      <c r="E314" t="inlineStr">
        <is>
          <t>CIRION TECHNOLOGIES COLOMBIA S.A.S.</t>
        </is>
      </c>
    </row>
    <row r="315">
      <c r="A315" t="inlineStr">
        <is>
          <t>830116500</t>
        </is>
      </c>
      <c r="B315" t="inlineStr">
        <is>
          <t>76719</t>
        </is>
      </c>
      <c r="C315" t="inlineStr">
        <is>
          <t>85887</t>
        </is>
      </c>
      <c r="D315" t="n">
        <v>25900</v>
      </c>
      <c r="E315" t="inlineStr">
        <is>
          <t>CADENA COMERCIAL OXXO COLOMBIA S A S</t>
        </is>
      </c>
    </row>
    <row r="316">
      <c r="A316" t="inlineStr">
        <is>
          <t>830116500</t>
        </is>
      </c>
      <c r="B316" t="inlineStr">
        <is>
          <t>8849</t>
        </is>
      </c>
      <c r="C316" t="inlineStr">
        <is>
          <t>8849</t>
        </is>
      </c>
      <c r="D316" t="n">
        <v>10466098</v>
      </c>
      <c r="E316" t="inlineStr">
        <is>
          <t>PROMOTORA DE TURISMO DEL ORIENTE COLOMBIANO SAS</t>
        </is>
      </c>
    </row>
    <row r="317">
      <c r="A317" t="inlineStr">
        <is>
          <t>830116500</t>
        </is>
      </c>
      <c r="B317" t="inlineStr">
        <is>
          <t>202</t>
        </is>
      </c>
      <c r="C317" t="inlineStr">
        <is>
          <t>8956954</t>
        </is>
      </c>
      <c r="D317" t="n">
        <v>24900</v>
      </c>
      <c r="E317" t="inlineStr">
        <is>
          <t>MERCADOLIBRE COLOMBIA LTDA</t>
        </is>
      </c>
    </row>
    <row r="318">
      <c r="A318" t="inlineStr">
        <is>
          <t>830116500</t>
        </is>
      </c>
      <c r="B318" t="inlineStr">
        <is>
          <t>74</t>
        </is>
      </c>
      <c r="C318" t="inlineStr">
        <is>
          <t>8976</t>
        </is>
      </c>
      <c r="D318" t="n">
        <v>176694.6</v>
      </c>
      <c r="E318" t="inlineStr">
        <is>
          <t>HURON SAS</t>
        </is>
      </c>
    </row>
    <row r="319">
      <c r="A319" t="inlineStr">
        <is>
          <t>830116500</t>
        </is>
      </c>
      <c r="B319" t="inlineStr">
        <is>
          <t>2</t>
        </is>
      </c>
      <c r="C319" t="inlineStr">
        <is>
          <t>899363</t>
        </is>
      </c>
      <c r="D319" t="n">
        <v>17371894</v>
      </c>
      <c r="E319" t="inlineStr">
        <is>
          <t>PLUXEE COLOMBIA S.A.S.</t>
        </is>
      </c>
    </row>
    <row r="320">
      <c r="A320" t="inlineStr">
        <is>
          <t>830116500</t>
        </is>
      </c>
      <c r="B320" t="inlineStr">
        <is>
          <t>900122</t>
        </is>
      </c>
      <c r="C320" t="inlineStr">
        <is>
          <t>900122</t>
        </is>
      </c>
      <c r="D320" t="n">
        <v>1510100</v>
      </c>
      <c r="E320" t="inlineStr">
        <is>
          <t>PLUXEE COLOMBIA S.A.S.</t>
        </is>
      </c>
    </row>
    <row r="321">
      <c r="A321" t="inlineStr">
        <is>
          <t>830116500</t>
        </is>
      </c>
      <c r="B321" t="inlineStr"/>
      <c r="C321" t="inlineStr">
        <is>
          <t>902280</t>
        </is>
      </c>
      <c r="D321" t="n">
        <v>5662749</v>
      </c>
      <c r="E321" t="inlineStr">
        <is>
          <t>PLUXEE COLOMBIA S.A.S.</t>
        </is>
      </c>
    </row>
    <row r="322">
      <c r="A322" t="inlineStr">
        <is>
          <t>830116500</t>
        </is>
      </c>
      <c r="B322" t="inlineStr">
        <is>
          <t>902280</t>
        </is>
      </c>
      <c r="C322" t="inlineStr">
        <is>
          <t>9152202</t>
        </is>
      </c>
      <c r="D322" t="n">
        <v>5771655.35</v>
      </c>
      <c r="E322" t="inlineStr">
        <is>
          <t>DESPEGAR COLOMBIA SAS</t>
        </is>
      </c>
    </row>
    <row r="323">
      <c r="A323" t="inlineStr">
        <is>
          <t>830116500</t>
        </is>
      </c>
      <c r="B323" t="inlineStr">
        <is>
          <t>9362200</t>
        </is>
      </c>
      <c r="C323" t="inlineStr">
        <is>
          <t>9362200</t>
        </is>
      </c>
      <c r="D323" t="n">
        <v>11600</v>
      </c>
      <c r="E323" t="inlineStr">
        <is>
          <t>CAMARA DE COMERCIO DE BOGOTA</t>
        </is>
      </c>
    </row>
    <row r="324">
      <c r="A324" t="inlineStr">
        <is>
          <t>830116500</t>
        </is>
      </c>
      <c r="B324" t="inlineStr">
        <is>
          <t>9362200</t>
        </is>
      </c>
      <c r="C324" t="inlineStr">
        <is>
          <t>9442987</t>
        </is>
      </c>
      <c r="D324" t="n">
        <v>11600</v>
      </c>
      <c r="E324" t="inlineStr">
        <is>
          <t>CAMARA DE COMERCIO DE BOGOTA</t>
        </is>
      </c>
    </row>
    <row r="325">
      <c r="A325" t="inlineStr">
        <is>
          <t>830116500</t>
        </is>
      </c>
      <c r="B325" t="inlineStr">
        <is>
          <t>31378223</t>
        </is>
      </c>
      <c r="C325" t="inlineStr">
        <is>
          <t>957</t>
        </is>
      </c>
      <c r="D325" t="n">
        <v>620000</v>
      </c>
      <c r="E325" t="inlineStr">
        <is>
          <t>HOTEL BOUTIQUE CASA GRANDE.</t>
        </is>
      </c>
    </row>
    <row r="326">
      <c r="A326" t="inlineStr">
        <is>
          <t>830116500</t>
        </is>
      </c>
      <c r="B326" t="inlineStr">
        <is>
          <t>199</t>
        </is>
      </c>
      <c r="C326" t="inlineStr">
        <is>
          <t>959</t>
        </is>
      </c>
      <c r="D326" t="n">
        <v>41650</v>
      </c>
      <c r="E326" t="inlineStr">
        <is>
          <t>SELLOS PA YA SAS</t>
        </is>
      </c>
    </row>
    <row r="327">
      <c r="A327" t="inlineStr">
        <is>
          <t>830116500</t>
        </is>
      </c>
      <c r="B327" t="inlineStr">
        <is>
          <t>18239</t>
        </is>
      </c>
      <c r="C327" t="inlineStr">
        <is>
          <t>9646</t>
        </is>
      </c>
      <c r="D327" t="n">
        <v>396904</v>
      </c>
      <c r="E327" t="inlineStr">
        <is>
          <t>LA MECA DE LA SEGURIDAD S.A.S</t>
        </is>
      </c>
    </row>
    <row r="328">
      <c r="A328" t="inlineStr">
        <is>
          <t>830116500</t>
        </is>
      </c>
      <c r="B328" t="inlineStr">
        <is>
          <t>899363</t>
        </is>
      </c>
      <c r="C328" t="inlineStr">
        <is>
          <t>969</t>
        </is>
      </c>
      <c r="D328" t="n">
        <v>41650</v>
      </c>
      <c r="E328" t="inlineStr">
        <is>
          <t>SELLOS PA YA SAS</t>
        </is>
      </c>
    </row>
    <row r="329">
      <c r="A329" t="inlineStr">
        <is>
          <t>830116500</t>
        </is>
      </c>
      <c r="B329" t="inlineStr">
        <is>
          <t>563660</t>
        </is>
      </c>
      <c r="C329" t="inlineStr">
        <is>
          <t>9862</t>
        </is>
      </c>
      <c r="D329" t="n">
        <v>14600</v>
      </c>
      <c r="E329" t="inlineStr">
        <is>
          <t>KARREFRUT</t>
        </is>
      </c>
    </row>
    <row r="330">
      <c r="A330" t="inlineStr">
        <is>
          <t>830116500</t>
        </is>
      </c>
      <c r="B330" t="inlineStr">
        <is>
          <t>292376004</t>
        </is>
      </c>
      <c r="C330" t="inlineStr">
        <is>
          <t>995962</t>
        </is>
      </c>
      <c r="D330" t="n">
        <v>91158.92</v>
      </c>
      <c r="E330" t="inlineStr">
        <is>
          <t>PRICE RES S A S</t>
        </is>
      </c>
    </row>
    <row r="331">
      <c r="A331" t="inlineStr">
        <is>
          <t>830126302</t>
        </is>
      </c>
      <c r="B331" t="inlineStr">
        <is>
          <t>19</t>
        </is>
      </c>
      <c r="C331" t="inlineStr">
        <is>
          <t>C003113</t>
        </is>
      </c>
      <c r="D331" t="n">
        <v>5477494</v>
      </c>
      <c r="E331" t="inlineStr">
        <is>
          <t>MERIDIAN CONSULTING LTDA</t>
        </is>
      </c>
    </row>
    <row r="332">
      <c r="A332" t="inlineStr">
        <is>
          <t>830126302</t>
        </is>
      </c>
      <c r="B332" t="inlineStr">
        <is>
          <t>899363</t>
        </is>
      </c>
      <c r="C332" t="inlineStr">
        <is>
          <t>C003114</t>
        </is>
      </c>
      <c r="D332" t="n">
        <v>4528332</v>
      </c>
      <c r="E332" t="inlineStr">
        <is>
          <t>MERIDIAN CONSULTING LTDA</t>
        </is>
      </c>
    </row>
    <row r="333">
      <c r="A333" t="inlineStr">
        <is>
          <t>899999068</t>
        </is>
      </c>
      <c r="B333" t="inlineStr">
        <is>
          <t>148170</t>
        </is>
      </c>
      <c r="C333" t="inlineStr">
        <is>
          <t>C003115</t>
        </is>
      </c>
      <c r="D333" t="n">
        <v>1334755.17</v>
      </c>
      <c r="E333" t="inlineStr">
        <is>
          <t>MERIDIAN CONSULTING LTDA</t>
        </is>
      </c>
    </row>
    <row r="334">
      <c r="A334" t="inlineStr">
        <is>
          <t>830116500</t>
        </is>
      </c>
      <c r="B334" t="inlineStr">
        <is>
          <t>18239</t>
        </is>
      </c>
      <c r="C334" t="inlineStr">
        <is>
          <t>EFCC2544095</t>
        </is>
      </c>
      <c r="D334" t="n">
        <v>432320</v>
      </c>
      <c r="E334" t="inlineStr">
        <is>
          <t>AEROVIAS DE INTEGRACIÓN REGIONAL S.A.</t>
        </is>
      </c>
    </row>
    <row r="335">
      <c r="A335" t="inlineStr">
        <is>
          <t>830116500</t>
        </is>
      </c>
      <c r="B335" t="inlineStr">
        <is>
          <t>309266</t>
        </is>
      </c>
      <c r="C335" t="inlineStr">
        <is>
          <t>EFCC2547488</t>
        </is>
      </c>
      <c r="D335" t="n">
        <v>425460</v>
      </c>
      <c r="E335" t="inlineStr">
        <is>
          <t>AEROVIAS DE INTEGRACIÓN REGIONAL S.A.</t>
        </is>
      </c>
    </row>
    <row r="336">
      <c r="A336" t="inlineStr">
        <is>
          <t>830116500</t>
        </is>
      </c>
      <c r="B336" t="inlineStr">
        <is>
          <t>3244</t>
        </is>
      </c>
      <c r="C336" t="inlineStr">
        <is>
          <t>NC2148</t>
        </is>
      </c>
      <c r="D336" t="n">
        <v>6500</v>
      </c>
      <c r="E336" t="inlineStr">
        <is>
          <t>FERRETERIA Y ELECTRICOS LA 15</t>
        </is>
      </c>
    </row>
    <row r="337">
      <c r="A337" t="inlineStr">
        <is>
          <t>830116500</t>
        </is>
      </c>
      <c r="B337" t="inlineStr">
        <is>
          <t>1124193598</t>
        </is>
      </c>
      <c r="C337" t="inlineStr">
        <is>
          <t>T28913387</t>
        </is>
      </c>
      <c r="D337" t="n">
        <v>48000</v>
      </c>
      <c r="E337" t="inlineStr">
        <is>
          <t>FLOTA LA MACARENA S.A</t>
        </is>
      </c>
    </row>
    <row r="338">
      <c r="A338" t="inlineStr">
        <is>
          <t>17308340</t>
        </is>
      </c>
      <c r="B338" t="inlineStr">
        <is>
          <t>134</t>
        </is>
      </c>
      <c r="C338" t="inlineStr">
        <is>
          <t>U0036</t>
        </is>
      </c>
      <c r="D338" t="n">
        <v>150000</v>
      </c>
      <c r="E338" t="inlineStr">
        <is>
          <t>MERIDIAN CONSULTING LTDA</t>
        </is>
      </c>
    </row>
    <row r="339">
      <c r="A339" t="inlineStr">
        <is>
          <t>444444021</t>
        </is>
      </c>
      <c r="B339" t="inlineStr">
        <is>
          <t>4447</t>
        </is>
      </c>
      <c r="C339" t="inlineStr">
        <is>
          <t>U0037</t>
        </is>
      </c>
      <c r="D339" t="n">
        <v>24900</v>
      </c>
      <c r="E339" t="inlineStr">
        <is>
          <t>MERIDIAN CONSULTING LTDA</t>
        </is>
      </c>
    </row>
    <row r="340">
      <c r="A340" t="inlineStr">
        <is>
          <t>860503560</t>
        </is>
      </c>
      <c r="B340" t="inlineStr">
        <is>
          <t>76719</t>
        </is>
      </c>
      <c r="C340" t="inlineStr">
        <is>
          <t>U0038</t>
        </is>
      </c>
      <c r="D340" t="n">
        <v>26350.17</v>
      </c>
      <c r="E340" t="inlineStr">
        <is>
          <t>MERIDIAN CONSULTING LTDA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7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35" customWidth="1" min="5" max="5"/>
  </cols>
  <sheetData>
    <row r="1">
      <c r="A1" s="16" t="inlineStr">
        <is>
          <t>NIT</t>
        </is>
      </c>
      <c r="B1" s="16" t="inlineStr">
        <is>
          <t>DOCUMENTO CRUCE</t>
        </is>
      </c>
      <c r="C1" s="16" t="inlineStr">
        <is>
          <t>FOLIO</t>
        </is>
      </c>
      <c r="D1" s="16" t="inlineStr">
        <is>
          <t>VALOR</t>
        </is>
      </c>
      <c r="E1" s="16" t="inlineStr">
        <is>
          <t>NOMBRE</t>
        </is>
      </c>
    </row>
    <row r="2">
      <c r="A2" t="inlineStr">
        <is>
          <t>830116500</t>
        </is>
      </c>
      <c r="B2" t="inlineStr"/>
      <c r="C2" t="inlineStr">
        <is>
          <t>3020245</t>
        </is>
      </c>
      <c r="D2" t="n">
        <v>720306928.6</v>
      </c>
      <c r="E2" t="inlineStr">
        <is>
          <t>MERIDIAN CONSULTING LTDA</t>
        </is>
      </c>
    </row>
    <row r="3">
      <c r="A3" t="inlineStr">
        <is>
          <t>830116500</t>
        </is>
      </c>
      <c r="B3" t="inlineStr"/>
      <c r="C3" t="inlineStr">
        <is>
          <t>3020246</t>
        </is>
      </c>
      <c r="D3" t="n">
        <v>635378574.25</v>
      </c>
      <c r="E3" t="inlineStr">
        <is>
          <t>MERIDIAN CONSULTING LTDA</t>
        </is>
      </c>
    </row>
    <row r="4">
      <c r="A4" t="inlineStr">
        <is>
          <t>830116500</t>
        </is>
      </c>
      <c r="B4" t="inlineStr"/>
      <c r="C4" t="inlineStr">
        <is>
          <t>3020243</t>
        </is>
      </c>
      <c r="D4" t="n">
        <v>328507749.08</v>
      </c>
      <c r="E4" t="inlineStr">
        <is>
          <t>MERIDIAN CONSULTING LTDA</t>
        </is>
      </c>
    </row>
    <row r="5">
      <c r="A5" t="inlineStr">
        <is>
          <t>830116500</t>
        </is>
      </c>
      <c r="B5" t="inlineStr"/>
      <c r="C5" t="inlineStr">
        <is>
          <t>C003116</t>
        </is>
      </c>
      <c r="D5" t="n">
        <v>328507749.08</v>
      </c>
      <c r="E5" t="inlineStr">
        <is>
          <t>MERIDIAN CONSULTING LTDA</t>
        </is>
      </c>
    </row>
    <row r="6">
      <c r="A6" t="inlineStr">
        <is>
          <t>830116500</t>
        </is>
      </c>
      <c r="B6" t="inlineStr"/>
      <c r="C6" t="inlineStr">
        <is>
          <t>3020226</t>
        </is>
      </c>
      <c r="D6" t="n">
        <v>328507749.08</v>
      </c>
      <c r="E6" t="inlineStr">
        <is>
          <t>MERIDIAN CONSULTING LTDA</t>
        </is>
      </c>
    </row>
    <row r="7">
      <c r="A7" t="inlineStr">
        <is>
          <t>830116500</t>
        </is>
      </c>
      <c r="B7" t="inlineStr"/>
      <c r="C7" t="inlineStr">
        <is>
          <t>3020253</t>
        </is>
      </c>
      <c r="D7" t="n">
        <v>227099653.55</v>
      </c>
      <c r="E7" t="inlineStr">
        <is>
          <t>MERIDIAN CONSULTING LTDA</t>
        </is>
      </c>
    </row>
    <row r="8">
      <c r="A8" t="inlineStr">
        <is>
          <t>830116500</t>
        </is>
      </c>
      <c r="B8" t="inlineStr"/>
      <c r="C8" t="inlineStr">
        <is>
          <t>3020234</t>
        </is>
      </c>
      <c r="D8" t="n">
        <v>202580707.91</v>
      </c>
      <c r="E8" t="inlineStr">
        <is>
          <t>MERIDIAN CONSULTING LTDA</t>
        </is>
      </c>
    </row>
    <row r="9">
      <c r="A9" t="inlineStr">
        <is>
          <t>830116500</t>
        </is>
      </c>
      <c r="B9" t="inlineStr"/>
      <c r="C9" t="inlineStr">
        <is>
          <t>3020225</t>
        </is>
      </c>
      <c r="D9" t="n">
        <v>201632106.55</v>
      </c>
      <c r="E9" t="inlineStr">
        <is>
          <t>MERIDIAN CONSULTING LTDA</t>
        </is>
      </c>
    </row>
    <row r="10">
      <c r="A10" t="inlineStr">
        <is>
          <t>830116500</t>
        </is>
      </c>
      <c r="B10" t="inlineStr"/>
      <c r="C10" t="inlineStr">
        <is>
          <t>3020232</t>
        </is>
      </c>
      <c r="D10" t="n">
        <v>164702295.1</v>
      </c>
      <c r="E10" t="inlineStr">
        <is>
          <t>MERIDIAN CONSULTING LTDA</t>
        </is>
      </c>
    </row>
    <row r="11">
      <c r="A11" t="inlineStr">
        <is>
          <t>830116500</t>
        </is>
      </c>
      <c r="B11" t="inlineStr"/>
      <c r="C11" t="inlineStr">
        <is>
          <t>3020223</t>
        </is>
      </c>
      <c r="D11" t="n">
        <v>148885808.75</v>
      </c>
      <c r="E11" t="inlineStr">
        <is>
          <t>MERIDIAN CONSULTING LTDA</t>
        </is>
      </c>
    </row>
    <row r="12">
      <c r="A12" t="inlineStr">
        <is>
          <t>830116500</t>
        </is>
      </c>
      <c r="B12" t="inlineStr"/>
      <c r="C12" t="inlineStr">
        <is>
          <t>3020242</t>
        </is>
      </c>
      <c r="D12" t="n">
        <v>129764235.44</v>
      </c>
      <c r="E12" t="inlineStr">
        <is>
          <t>MERIDIAN CONSULTING LTDA</t>
        </is>
      </c>
    </row>
    <row r="13">
      <c r="A13" t="inlineStr">
        <is>
          <t>830116500</t>
        </is>
      </c>
      <c r="B13" t="inlineStr"/>
      <c r="C13" t="inlineStr">
        <is>
          <t>3020221</t>
        </is>
      </c>
      <c r="D13" t="n">
        <v>123060653.66</v>
      </c>
      <c r="E13" t="inlineStr">
        <is>
          <t>MERIDIAN CONSULTING LTDA</t>
        </is>
      </c>
    </row>
    <row r="14">
      <c r="A14" t="inlineStr">
        <is>
          <t>830116500</t>
        </is>
      </c>
      <c r="B14" t="inlineStr"/>
      <c r="C14" t="inlineStr">
        <is>
          <t>3020250</t>
        </is>
      </c>
      <c r="D14" t="n">
        <v>116537373.54</v>
      </c>
      <c r="E14" t="inlineStr">
        <is>
          <t>MERIDIAN CONSULTING LTDA</t>
        </is>
      </c>
    </row>
    <row r="15">
      <c r="A15" t="inlineStr">
        <is>
          <t>830116500</t>
        </is>
      </c>
      <c r="B15" t="inlineStr"/>
      <c r="C15" t="inlineStr">
        <is>
          <t>3020254</t>
        </is>
      </c>
      <c r="D15" t="n">
        <v>97335380.03</v>
      </c>
      <c r="E15" t="inlineStr">
        <is>
          <t>MERIDIAN CONSULTING LTDA</t>
        </is>
      </c>
    </row>
    <row r="16">
      <c r="A16" t="inlineStr">
        <is>
          <t>830116500</t>
        </is>
      </c>
      <c r="B16" t="inlineStr"/>
      <c r="C16" t="inlineStr">
        <is>
          <t>3020222</t>
        </is>
      </c>
      <c r="D16" t="n">
        <v>78430597.34999999</v>
      </c>
      <c r="E16" t="inlineStr">
        <is>
          <t>MERIDIAN CONSULTING LTDA</t>
        </is>
      </c>
    </row>
    <row r="17">
      <c r="A17" t="inlineStr">
        <is>
          <t>830116500</t>
        </is>
      </c>
      <c r="B17" t="inlineStr"/>
      <c r="C17" t="inlineStr">
        <is>
          <t>3020235</t>
        </is>
      </c>
      <c r="D17" t="n">
        <v>70916373.29000001</v>
      </c>
      <c r="E17" t="inlineStr">
        <is>
          <t>MERIDIAN CONSULTING LTDA</t>
        </is>
      </c>
    </row>
    <row r="18">
      <c r="A18" t="inlineStr">
        <is>
          <t>830116500</t>
        </is>
      </c>
      <c r="B18" t="inlineStr"/>
      <c r="C18" t="inlineStr">
        <is>
          <t>C003112</t>
        </is>
      </c>
      <c r="D18" t="n">
        <v>67789920.8</v>
      </c>
      <c r="E18" t="inlineStr">
        <is>
          <t>MERIDIAN CONSULTING LTDA</t>
        </is>
      </c>
    </row>
    <row r="19">
      <c r="A19" t="inlineStr">
        <is>
          <t>901743818</t>
        </is>
      </c>
      <c r="B19" t="inlineStr"/>
      <c r="C19" t="inlineStr">
        <is>
          <t>61</t>
        </is>
      </c>
      <c r="D19" t="n">
        <v>51889950</v>
      </c>
      <c r="E19" t="inlineStr">
        <is>
          <t>ADM SUMINISTROS Y CONSULTORIA SAS</t>
        </is>
      </c>
    </row>
    <row r="20">
      <c r="A20" t="inlineStr">
        <is>
          <t>830116500</t>
        </is>
      </c>
      <c r="B20" t="inlineStr"/>
      <c r="C20" t="inlineStr">
        <is>
          <t>3020247</t>
        </is>
      </c>
      <c r="D20" t="n">
        <v>48103073.69</v>
      </c>
      <c r="E20" t="inlineStr">
        <is>
          <t>MERIDIAN CONSULTING LTDA</t>
        </is>
      </c>
    </row>
    <row r="21">
      <c r="A21" t="inlineStr">
        <is>
          <t>52496435</t>
        </is>
      </c>
      <c r="B21" t="inlineStr"/>
      <c r="C21" t="inlineStr">
        <is>
          <t>28</t>
        </is>
      </c>
      <c r="D21" t="n">
        <v>41483400</v>
      </c>
      <c r="E21" t="inlineStr">
        <is>
          <t>VARGAS RODRIGUEZ DIANA MARCELA</t>
        </is>
      </c>
    </row>
    <row r="22">
      <c r="A22" t="inlineStr">
        <is>
          <t>830116500</t>
        </is>
      </c>
      <c r="B22" t="inlineStr"/>
      <c r="C22" t="inlineStr">
        <is>
          <t>3020220</t>
        </is>
      </c>
      <c r="D22" t="n">
        <v>39530962.24</v>
      </c>
      <c r="E22" t="inlineStr">
        <is>
          <t>MERIDIAN CONSULTING LTDA</t>
        </is>
      </c>
    </row>
    <row r="23">
      <c r="A23" t="inlineStr">
        <is>
          <t>1075243024</t>
        </is>
      </c>
      <c r="B23" t="inlineStr"/>
      <c r="C23" t="inlineStr">
        <is>
          <t>13</t>
        </is>
      </c>
      <c r="D23" t="n">
        <v>38298960</v>
      </c>
      <c r="E23" t="inlineStr">
        <is>
          <t>GONZALEZ VALENZUELA DIEGO GERMAN GONZALEZ VALENZUELA</t>
        </is>
      </c>
    </row>
    <row r="24">
      <c r="A24" t="inlineStr">
        <is>
          <t>830116500</t>
        </is>
      </c>
      <c r="B24" t="inlineStr"/>
      <c r="C24" t="inlineStr">
        <is>
          <t>3020238</t>
        </is>
      </c>
      <c r="D24" t="n">
        <v>37940259.49</v>
      </c>
      <c r="E24" t="inlineStr">
        <is>
          <t>MERIDIAN CONSULTING LTDA</t>
        </is>
      </c>
    </row>
    <row r="25">
      <c r="A25" t="inlineStr">
        <is>
          <t>830116500</t>
        </is>
      </c>
      <c r="B25" t="inlineStr"/>
      <c r="C25" t="inlineStr">
        <is>
          <t>3020236</t>
        </is>
      </c>
      <c r="D25" t="n">
        <v>35458187.24</v>
      </c>
      <c r="E25" t="inlineStr">
        <is>
          <t>MERIDIAN CONSULTING LTDA</t>
        </is>
      </c>
    </row>
    <row r="26">
      <c r="A26" t="inlineStr">
        <is>
          <t>830116500</t>
        </is>
      </c>
      <c r="B26" t="inlineStr"/>
      <c r="C26" t="inlineStr">
        <is>
          <t>3020231</t>
        </is>
      </c>
      <c r="D26" t="n">
        <v>35458187.24</v>
      </c>
      <c r="E26" t="inlineStr">
        <is>
          <t>MERIDIAN CONSULTING LTDA</t>
        </is>
      </c>
    </row>
    <row r="27">
      <c r="A27" t="inlineStr">
        <is>
          <t>830116500</t>
        </is>
      </c>
      <c r="B27" t="inlineStr"/>
      <c r="C27" t="inlineStr">
        <is>
          <t>3020239</t>
        </is>
      </c>
      <c r="D27" t="n">
        <v>35458186.05</v>
      </c>
      <c r="E27" t="inlineStr">
        <is>
          <t>MERIDIAN CONSULTING LTDA</t>
        </is>
      </c>
    </row>
    <row r="28">
      <c r="A28" t="inlineStr">
        <is>
          <t>830116500</t>
        </is>
      </c>
      <c r="B28" t="inlineStr"/>
      <c r="C28" t="inlineStr">
        <is>
          <t>3020249</t>
        </is>
      </c>
      <c r="D28" t="n">
        <v>35458186.05</v>
      </c>
      <c r="E28" t="inlineStr">
        <is>
          <t>MERIDIAN CONSULTING LTDA</t>
        </is>
      </c>
    </row>
    <row r="29">
      <c r="A29" t="inlineStr">
        <is>
          <t>830116500</t>
        </is>
      </c>
      <c r="B29" t="inlineStr"/>
      <c r="C29" t="inlineStr">
        <is>
          <t>3020240</t>
        </is>
      </c>
      <c r="D29" t="n">
        <v>35458186.05</v>
      </c>
      <c r="E29" t="inlineStr">
        <is>
          <t>MERIDIAN CONSULTING LTDA</t>
        </is>
      </c>
    </row>
    <row r="30">
      <c r="A30" t="inlineStr">
        <is>
          <t>830116500</t>
        </is>
      </c>
      <c r="B30" t="inlineStr"/>
      <c r="C30" t="inlineStr">
        <is>
          <t>3020237</t>
        </is>
      </c>
      <c r="D30" t="n">
        <v>35458186.05</v>
      </c>
      <c r="E30" t="inlineStr">
        <is>
          <t>MERIDIAN CONSULTING LTDA</t>
        </is>
      </c>
    </row>
    <row r="31">
      <c r="A31" t="inlineStr">
        <is>
          <t>80794172</t>
        </is>
      </c>
      <c r="B31" t="inlineStr"/>
      <c r="C31" t="inlineStr">
        <is>
          <t>19</t>
        </is>
      </c>
      <c r="D31" t="n">
        <v>32215680</v>
      </c>
      <c r="E31" t="inlineStr">
        <is>
          <t>DANIEL RAMIREZ SANCHEZ</t>
        </is>
      </c>
    </row>
    <row r="32">
      <c r="A32" t="n">
        <v>80794172</v>
      </c>
      <c r="B32" t="inlineStr"/>
      <c r="C32" t="inlineStr"/>
      <c r="D32" t="n">
        <v>27072000</v>
      </c>
      <c r="E32" t="inlineStr"/>
    </row>
    <row r="33">
      <c r="A33" t="n">
        <v>80794172</v>
      </c>
      <c r="B33" t="inlineStr"/>
      <c r="C33" t="inlineStr"/>
      <c r="D33" t="n">
        <v>26626176</v>
      </c>
      <c r="E33" t="inlineStr"/>
    </row>
    <row r="34">
      <c r="A34" t="n">
        <v>1013602713</v>
      </c>
      <c r="B34" t="inlineStr"/>
      <c r="C34" t="inlineStr"/>
      <c r="D34" t="n">
        <v>26145000</v>
      </c>
      <c r="E34" t="inlineStr"/>
    </row>
    <row r="35">
      <c r="A35" t="n">
        <v>901937902</v>
      </c>
      <c r="B35" t="inlineStr"/>
      <c r="C35" t="inlineStr"/>
      <c r="D35" t="n">
        <v>20854732</v>
      </c>
      <c r="E35" t="inlineStr"/>
    </row>
    <row r="36">
      <c r="A36" t="inlineStr">
        <is>
          <t>901842214</t>
        </is>
      </c>
      <c r="B36" t="inlineStr"/>
      <c r="C36" t="inlineStr">
        <is>
          <t>84</t>
        </is>
      </c>
      <c r="D36" t="n">
        <v>18966659</v>
      </c>
      <c r="E36" t="inlineStr">
        <is>
          <t>ERAVIAL SAS</t>
        </is>
      </c>
    </row>
    <row r="37">
      <c r="A37" t="inlineStr">
        <is>
          <t>79729680</t>
        </is>
      </c>
      <c r="B37" t="inlineStr"/>
      <c r="C37" t="inlineStr">
        <is>
          <t>22</t>
        </is>
      </c>
      <c r="D37" t="n">
        <v>17021760</v>
      </c>
      <c r="E37" t="inlineStr">
        <is>
          <t>MAURICIO ALEJANDRO CALVO RODRÍGUEZ</t>
        </is>
      </c>
    </row>
    <row r="38">
      <c r="A38" t="n">
        <v>74240902</v>
      </c>
      <c r="B38" t="inlineStr"/>
      <c r="C38" t="inlineStr"/>
      <c r="D38" t="n">
        <v>14664690</v>
      </c>
      <c r="E38" t="inlineStr"/>
    </row>
    <row r="39">
      <c r="A39" t="n">
        <v>80095582</v>
      </c>
      <c r="B39" t="inlineStr"/>
      <c r="C39" t="inlineStr"/>
      <c r="D39" t="n">
        <v>14556520</v>
      </c>
      <c r="E39" t="inlineStr"/>
    </row>
    <row r="40">
      <c r="A40" t="n">
        <v>901517223</v>
      </c>
      <c r="B40" t="inlineStr"/>
      <c r="C40" t="inlineStr"/>
      <c r="D40" t="n">
        <v>14274231</v>
      </c>
      <c r="E40" t="inlineStr"/>
    </row>
    <row r="41">
      <c r="A41" t="n">
        <v>80095582</v>
      </c>
      <c r="B41" t="inlineStr"/>
      <c r="C41" t="inlineStr"/>
      <c r="D41" t="n">
        <v>13944000</v>
      </c>
      <c r="E41" t="inlineStr"/>
    </row>
    <row r="42">
      <c r="A42" t="n">
        <v>79729680</v>
      </c>
      <c r="B42" t="inlineStr"/>
      <c r="C42" t="inlineStr"/>
      <c r="D42" t="n">
        <v>13652632</v>
      </c>
      <c r="E42" t="inlineStr"/>
    </row>
    <row r="43">
      <c r="A43" t="n">
        <v>901517223</v>
      </c>
      <c r="B43" t="inlineStr"/>
      <c r="C43" t="inlineStr"/>
      <c r="D43" t="n">
        <v>11702644</v>
      </c>
      <c r="E43" t="inlineStr"/>
    </row>
    <row r="44">
      <c r="A44" t="inlineStr">
        <is>
          <t>800028326</t>
        </is>
      </c>
      <c r="B44" t="inlineStr"/>
      <c r="C44" t="inlineStr">
        <is>
          <t>55688</t>
        </is>
      </c>
      <c r="D44" t="n">
        <v>11046000</v>
      </c>
      <c r="E44" t="inlineStr">
        <is>
          <t>NOVASOFT SAS</t>
        </is>
      </c>
    </row>
    <row r="45">
      <c r="A45" t="n">
        <v>800219876</v>
      </c>
      <c r="B45" t="inlineStr"/>
      <c r="C45" t="inlineStr"/>
      <c r="D45" t="n">
        <v>8380000</v>
      </c>
      <c r="E45" t="inlineStr"/>
    </row>
    <row r="46">
      <c r="A46" t="n">
        <v>901743818</v>
      </c>
      <c r="B46" t="inlineStr"/>
      <c r="C46" t="inlineStr"/>
      <c r="D46" t="n">
        <v>8284950</v>
      </c>
      <c r="E46" t="inlineStr"/>
    </row>
    <row r="47">
      <c r="A47" t="inlineStr">
        <is>
          <t>901121426</t>
        </is>
      </c>
      <c r="B47" t="inlineStr"/>
      <c r="C47" t="inlineStr">
        <is>
          <t>710</t>
        </is>
      </c>
      <c r="D47" t="n">
        <v>7330876</v>
      </c>
      <c r="E47" t="inlineStr">
        <is>
          <t>S4 SECURITY SAS</t>
        </is>
      </c>
    </row>
    <row r="48">
      <c r="A48" t="n">
        <v>52496435</v>
      </c>
      <c r="B48" t="inlineStr"/>
      <c r="C48" t="inlineStr"/>
      <c r="D48" t="n">
        <v>6623400</v>
      </c>
      <c r="E48" t="inlineStr"/>
    </row>
    <row r="49">
      <c r="A49" t="n">
        <v>900442265</v>
      </c>
      <c r="B49" t="inlineStr"/>
      <c r="C49" t="inlineStr"/>
      <c r="D49" t="n">
        <v>6171465</v>
      </c>
      <c r="E49" t="inlineStr"/>
    </row>
    <row r="50">
      <c r="A50" t="n">
        <v>901121426</v>
      </c>
      <c r="B50" t="inlineStr"/>
      <c r="C50" t="inlineStr"/>
      <c r="D50" t="n">
        <v>6160400</v>
      </c>
      <c r="E50" t="inlineStr"/>
    </row>
    <row r="51">
      <c r="A51" t="n">
        <v>1075243024</v>
      </c>
      <c r="B51" t="inlineStr"/>
      <c r="C51" t="inlineStr"/>
      <c r="D51" t="n">
        <v>6114960</v>
      </c>
      <c r="E51" t="inlineStr"/>
    </row>
    <row r="52">
      <c r="A52" t="n">
        <v>900610726</v>
      </c>
      <c r="B52" t="inlineStr"/>
      <c r="C52" t="inlineStr"/>
      <c r="D52" t="n">
        <v>6106303</v>
      </c>
      <c r="E52" t="inlineStr"/>
    </row>
    <row r="53">
      <c r="A53" t="n">
        <v>51986288</v>
      </c>
      <c r="B53" t="inlineStr"/>
      <c r="C53" t="inlineStr"/>
      <c r="D53" t="n">
        <v>6000000</v>
      </c>
      <c r="E53" t="inlineStr"/>
    </row>
    <row r="54">
      <c r="A54" t="n">
        <v>900610518</v>
      </c>
      <c r="B54" t="inlineStr"/>
      <c r="C54" t="inlineStr"/>
      <c r="D54" t="n">
        <v>5771655</v>
      </c>
      <c r="E54" t="inlineStr"/>
    </row>
    <row r="55">
      <c r="A55" t="n">
        <v>900610518</v>
      </c>
      <c r="B55" t="inlineStr"/>
      <c r="C55" t="inlineStr"/>
      <c r="D55" t="n">
        <v>5284240</v>
      </c>
      <c r="E55" t="inlineStr"/>
    </row>
    <row r="56">
      <c r="A56" t="n">
        <v>80794172</v>
      </c>
      <c r="B56" t="inlineStr"/>
      <c r="C56" t="inlineStr"/>
      <c r="D56" t="n">
        <v>5143680</v>
      </c>
      <c r="E56" t="inlineStr"/>
    </row>
    <row r="57">
      <c r="A57" t="n">
        <v>1075243024</v>
      </c>
      <c r="B57" t="inlineStr"/>
      <c r="C57" t="inlineStr"/>
      <c r="D57" t="n">
        <v>5074000</v>
      </c>
      <c r="E57" t="inlineStr"/>
    </row>
    <row r="58">
      <c r="A58" t="n">
        <v>1013602713</v>
      </c>
      <c r="B58" t="inlineStr"/>
      <c r="C58" t="inlineStr"/>
      <c r="D58" t="n">
        <v>4967550</v>
      </c>
      <c r="E58" t="inlineStr"/>
    </row>
    <row r="59">
      <c r="A59" t="n">
        <v>1022344726</v>
      </c>
      <c r="B59" t="inlineStr"/>
      <c r="C59" t="inlineStr"/>
      <c r="D59" t="n">
        <v>4040700</v>
      </c>
      <c r="E59" t="inlineStr"/>
    </row>
    <row r="60">
      <c r="A60" t="n">
        <v>860009578</v>
      </c>
      <c r="B60" t="inlineStr"/>
      <c r="C60" t="inlineStr"/>
      <c r="D60" t="n">
        <v>3818850</v>
      </c>
      <c r="E60" t="inlineStr"/>
    </row>
    <row r="61">
      <c r="A61" t="n">
        <v>1022344726</v>
      </c>
      <c r="B61" t="inlineStr"/>
      <c r="C61" t="inlineStr"/>
      <c r="D61" t="n">
        <v>3537608</v>
      </c>
      <c r="E61" t="inlineStr"/>
    </row>
    <row r="62">
      <c r="A62" t="n">
        <v>1013602713</v>
      </c>
      <c r="B62" t="inlineStr"/>
      <c r="C62" t="inlineStr"/>
      <c r="D62" t="n">
        <v>3429120</v>
      </c>
      <c r="E62" t="inlineStr"/>
    </row>
    <row r="63">
      <c r="A63" t="n">
        <v>901937902</v>
      </c>
      <c r="B63" t="inlineStr"/>
      <c r="C63" t="inlineStr"/>
      <c r="D63" t="n">
        <v>3411450</v>
      </c>
      <c r="E63" t="inlineStr"/>
    </row>
    <row r="64">
      <c r="A64" t="n">
        <v>900785196</v>
      </c>
      <c r="B64" t="inlineStr"/>
      <c r="C64" t="inlineStr"/>
      <c r="D64" t="n">
        <v>3214020</v>
      </c>
      <c r="E64" t="inlineStr"/>
    </row>
    <row r="65">
      <c r="A65" t="n">
        <v>860009578</v>
      </c>
      <c r="B65" t="inlineStr"/>
      <c r="C65" t="inlineStr"/>
      <c r="D65" t="n">
        <v>3209118</v>
      </c>
      <c r="E65" t="inlineStr"/>
    </row>
    <row r="66">
      <c r="A66" t="n">
        <v>900994200</v>
      </c>
      <c r="B66" t="inlineStr"/>
      <c r="C66" t="inlineStr"/>
      <c r="D66" t="n">
        <v>3050106</v>
      </c>
      <c r="E66" t="inlineStr"/>
    </row>
    <row r="67">
      <c r="A67" t="n">
        <v>860039988</v>
      </c>
      <c r="B67" t="inlineStr"/>
      <c r="C67" t="inlineStr"/>
      <c r="D67" t="n">
        <v>3041339</v>
      </c>
      <c r="E67" t="inlineStr"/>
    </row>
    <row r="68">
      <c r="A68" t="n">
        <v>1013602713</v>
      </c>
      <c r="B68" t="inlineStr"/>
      <c r="C68" t="inlineStr"/>
      <c r="D68" t="n">
        <v>3000000</v>
      </c>
      <c r="E68" t="inlineStr"/>
    </row>
    <row r="69">
      <c r="A69" t="n">
        <v>900785196</v>
      </c>
      <c r="B69" t="inlineStr"/>
      <c r="C69" t="inlineStr"/>
      <c r="D69" t="n">
        <v>3000000</v>
      </c>
      <c r="E69" t="inlineStr"/>
    </row>
    <row r="70">
      <c r="A70" t="n">
        <v>74240902</v>
      </c>
      <c r="B70" t="inlineStr"/>
      <c r="C70" t="inlineStr"/>
      <c r="D70" t="n">
        <v>2786291</v>
      </c>
      <c r="E70" t="inlineStr"/>
    </row>
    <row r="71">
      <c r="A71" t="n">
        <v>79729680</v>
      </c>
      <c r="B71" t="inlineStr"/>
      <c r="C71" t="inlineStr"/>
      <c r="D71" t="n">
        <v>2717760</v>
      </c>
      <c r="E71" t="inlineStr"/>
    </row>
    <row r="72">
      <c r="A72" t="n">
        <v>892100110</v>
      </c>
      <c r="B72" t="inlineStr"/>
      <c r="C72" t="inlineStr"/>
      <c r="D72" t="n">
        <v>2684400</v>
      </c>
      <c r="E72" t="inlineStr"/>
    </row>
    <row r="73">
      <c r="A73" t="inlineStr">
        <is>
          <t>830116500</t>
        </is>
      </c>
      <c r="B73" t="inlineStr"/>
      <c r="C73" t="inlineStr">
        <is>
          <t>3020219</t>
        </is>
      </c>
      <c r="D73" t="n">
        <v>2338350</v>
      </c>
      <c r="E73" t="inlineStr">
        <is>
          <t>MERIDIAN CONSULTING LTDA</t>
        </is>
      </c>
    </row>
    <row r="74">
      <c r="A74" t="n">
        <v>1098728440</v>
      </c>
      <c r="B74" t="inlineStr"/>
      <c r="C74" t="inlineStr"/>
      <c r="D74" t="n">
        <v>2207800</v>
      </c>
      <c r="E74" t="inlineStr"/>
    </row>
    <row r="75">
      <c r="A75" t="n">
        <v>800219876</v>
      </c>
      <c r="B75" t="inlineStr"/>
      <c r="C75" t="inlineStr"/>
      <c r="D75" t="n">
        <v>2104000</v>
      </c>
      <c r="E75" t="inlineStr"/>
    </row>
    <row r="76">
      <c r="A76" t="n">
        <v>901842214</v>
      </c>
      <c r="B76" t="inlineStr"/>
      <c r="C76" t="inlineStr"/>
      <c r="D76" t="n">
        <v>2100000</v>
      </c>
      <c r="E76" t="inlineStr"/>
    </row>
    <row r="77">
      <c r="A77" t="n">
        <v>444444054</v>
      </c>
      <c r="B77" t="inlineStr"/>
      <c r="C77" t="inlineStr"/>
      <c r="D77" t="n">
        <v>1689762.6</v>
      </c>
      <c r="E77" t="inlineStr"/>
    </row>
    <row r="78">
      <c r="A78" t="n">
        <v>900465969</v>
      </c>
      <c r="B78" t="inlineStr"/>
      <c r="C78" t="inlineStr"/>
      <c r="D78" t="n">
        <v>1632353</v>
      </c>
      <c r="E78" t="inlineStr"/>
    </row>
    <row r="79">
      <c r="A79" t="n">
        <v>901385344</v>
      </c>
      <c r="B79" t="inlineStr"/>
      <c r="C79" t="inlineStr"/>
      <c r="D79" t="n">
        <v>1626100</v>
      </c>
      <c r="E79" t="inlineStr"/>
    </row>
    <row r="80">
      <c r="A80" t="n">
        <v>800219876</v>
      </c>
      <c r="B80" t="inlineStr"/>
      <c r="C80" t="inlineStr"/>
      <c r="D80" t="n">
        <v>1600000</v>
      </c>
      <c r="E80" t="inlineStr"/>
    </row>
    <row r="81">
      <c r="A81" t="n">
        <v>901517223</v>
      </c>
      <c r="B81" t="inlineStr"/>
      <c r="C81" t="inlineStr"/>
      <c r="D81" t="n">
        <v>1521344</v>
      </c>
      <c r="E81" t="inlineStr"/>
    </row>
    <row r="82">
      <c r="A82" t="n">
        <v>892100110</v>
      </c>
      <c r="B82" t="inlineStr"/>
      <c r="C82" t="inlineStr"/>
      <c r="D82" t="n">
        <v>1500000</v>
      </c>
      <c r="E82" t="inlineStr"/>
    </row>
    <row r="83">
      <c r="A83" t="n">
        <v>901651574</v>
      </c>
      <c r="B83" t="inlineStr"/>
      <c r="C83" t="inlineStr"/>
      <c r="D83" t="n">
        <v>1500000</v>
      </c>
      <c r="E83" t="inlineStr"/>
    </row>
    <row r="84">
      <c r="A84" t="n">
        <v>900442265</v>
      </c>
      <c r="B84" t="inlineStr"/>
      <c r="C84" t="inlineStr"/>
      <c r="D84" t="n">
        <v>1412745</v>
      </c>
      <c r="E84" t="inlineStr"/>
    </row>
    <row r="85">
      <c r="A85" t="n">
        <v>860039988</v>
      </c>
      <c r="B85" t="inlineStr"/>
      <c r="C85" t="inlineStr"/>
      <c r="D85" t="n">
        <v>1396958</v>
      </c>
      <c r="E85" t="inlineStr"/>
    </row>
    <row r="86">
      <c r="A86" t="n">
        <v>860039988</v>
      </c>
      <c r="B86" t="inlineStr"/>
      <c r="C86" t="inlineStr"/>
      <c r="D86" t="n">
        <v>1396958</v>
      </c>
      <c r="E86" t="inlineStr"/>
    </row>
    <row r="87">
      <c r="A87" t="n">
        <v>80095582</v>
      </c>
      <c r="B87" t="inlineStr"/>
      <c r="C87" t="inlineStr"/>
      <c r="D87" t="n">
        <v>1394400</v>
      </c>
      <c r="E87" t="inlineStr"/>
    </row>
    <row r="88">
      <c r="A88" t="n">
        <v>444444054</v>
      </c>
      <c r="B88" t="inlineStr"/>
      <c r="C88" t="inlineStr"/>
      <c r="D88" t="n">
        <v>1301117.2</v>
      </c>
      <c r="E88" t="inlineStr"/>
    </row>
    <row r="89">
      <c r="A89" t="n">
        <v>892100110</v>
      </c>
      <c r="B89" t="inlineStr"/>
      <c r="C89" t="inlineStr"/>
      <c r="D89" t="n">
        <v>1300000</v>
      </c>
      <c r="E89" t="inlineStr"/>
    </row>
    <row r="90">
      <c r="A90" t="n">
        <v>19413366</v>
      </c>
      <c r="B90" t="inlineStr"/>
      <c r="C90" t="inlineStr"/>
      <c r="D90" t="n">
        <v>1273618</v>
      </c>
      <c r="E90" t="inlineStr"/>
    </row>
    <row r="91">
      <c r="A91" t="n">
        <v>901743818</v>
      </c>
      <c r="B91" t="inlineStr"/>
      <c r="C91" t="inlineStr"/>
      <c r="D91" t="n">
        <v>1242743</v>
      </c>
      <c r="E91" t="inlineStr"/>
    </row>
    <row r="92">
      <c r="A92" t="n">
        <v>1013613848</v>
      </c>
      <c r="B92" t="inlineStr"/>
      <c r="C92" t="inlineStr"/>
      <c r="D92" t="n">
        <v>1219600</v>
      </c>
      <c r="E92" t="inlineStr"/>
    </row>
    <row r="93">
      <c r="A93" t="n">
        <v>860039988</v>
      </c>
      <c r="B93" t="inlineStr"/>
      <c r="C93" t="inlineStr"/>
      <c r="D93" t="n">
        <v>1173914</v>
      </c>
      <c r="E93" t="inlineStr"/>
    </row>
    <row r="94">
      <c r="A94" t="n">
        <v>860039988</v>
      </c>
      <c r="B94" t="inlineStr"/>
      <c r="C94" t="inlineStr"/>
      <c r="D94" t="n">
        <v>1173914</v>
      </c>
      <c r="E94" t="inlineStr"/>
    </row>
    <row r="95">
      <c r="A95" t="n">
        <v>860002400</v>
      </c>
      <c r="B95" t="inlineStr"/>
      <c r="C95" t="inlineStr"/>
      <c r="D95" t="n">
        <v>1117100</v>
      </c>
      <c r="E95" t="inlineStr"/>
    </row>
    <row r="96">
      <c r="A96" t="n">
        <v>860002400</v>
      </c>
      <c r="B96" t="inlineStr"/>
      <c r="C96" t="inlineStr"/>
      <c r="D96" t="n">
        <v>1117100</v>
      </c>
      <c r="E96" t="inlineStr"/>
    </row>
    <row r="97">
      <c r="A97" t="n">
        <v>860002400</v>
      </c>
      <c r="B97" t="inlineStr"/>
      <c r="C97" t="inlineStr"/>
      <c r="D97" t="n">
        <v>1117100</v>
      </c>
      <c r="E97" t="inlineStr"/>
    </row>
    <row r="98">
      <c r="A98" t="n">
        <v>860002400</v>
      </c>
      <c r="B98" t="inlineStr"/>
      <c r="C98" t="inlineStr"/>
      <c r="D98" t="n">
        <v>1117100</v>
      </c>
      <c r="E98" t="inlineStr"/>
    </row>
    <row r="99">
      <c r="A99" t="n">
        <v>19413366</v>
      </c>
      <c r="B99" t="inlineStr"/>
      <c r="C99" t="inlineStr"/>
      <c r="D99" t="n">
        <v>1112000</v>
      </c>
      <c r="E99" t="inlineStr"/>
    </row>
    <row r="100">
      <c r="A100" t="n">
        <v>901290935</v>
      </c>
      <c r="B100" t="inlineStr"/>
      <c r="C100" t="inlineStr"/>
      <c r="D100" t="n">
        <v>1101362</v>
      </c>
      <c r="E100" t="inlineStr"/>
    </row>
    <row r="101">
      <c r="A101" t="n">
        <v>900019547</v>
      </c>
      <c r="B101" t="inlineStr"/>
      <c r="C101" t="inlineStr"/>
      <c r="D101" t="n">
        <v>1029745</v>
      </c>
      <c r="E101" t="inlineStr"/>
    </row>
    <row r="102">
      <c r="A102" t="n">
        <v>800219876</v>
      </c>
      <c r="B102" t="inlineStr"/>
      <c r="C102" t="inlineStr"/>
      <c r="D102" t="n">
        <v>945210</v>
      </c>
      <c r="E102" t="inlineStr"/>
    </row>
    <row r="103">
      <c r="A103" t="n">
        <v>901290935</v>
      </c>
      <c r="B103" t="inlineStr"/>
      <c r="C103" t="inlineStr"/>
      <c r="D103" t="n">
        <v>928000</v>
      </c>
      <c r="E103" t="inlineStr"/>
    </row>
    <row r="104">
      <c r="A104" t="n">
        <v>1010167959</v>
      </c>
      <c r="B104" t="inlineStr"/>
      <c r="C104" t="inlineStr"/>
      <c r="D104" t="n">
        <v>863884</v>
      </c>
      <c r="E104" t="n">
        <v>90</v>
      </c>
    </row>
    <row r="105">
      <c r="A105" t="n">
        <v>901291818</v>
      </c>
      <c r="B105" t="inlineStr"/>
      <c r="C105" t="inlineStr"/>
      <c r="D105" t="n">
        <v>770923</v>
      </c>
      <c r="E105" t="inlineStr"/>
    </row>
    <row r="106">
      <c r="A106" t="n">
        <v>800140887</v>
      </c>
      <c r="B106" t="inlineStr"/>
      <c r="C106" t="inlineStr"/>
      <c r="D106" t="n">
        <v>711750</v>
      </c>
      <c r="E106" t="inlineStr"/>
    </row>
    <row r="107">
      <c r="A107" t="n">
        <v>900994200</v>
      </c>
      <c r="B107" t="inlineStr"/>
      <c r="C107" t="inlineStr"/>
      <c r="D107" t="n">
        <v>711750</v>
      </c>
      <c r="E107" t="inlineStr"/>
    </row>
    <row r="108">
      <c r="A108" t="n">
        <v>901517223</v>
      </c>
      <c r="B108" t="inlineStr"/>
      <c r="C108" t="inlineStr"/>
      <c r="D108" t="n">
        <v>702159</v>
      </c>
      <c r="E108" t="inlineStr"/>
    </row>
    <row r="109">
      <c r="A109" t="n">
        <v>901385344</v>
      </c>
      <c r="B109" t="inlineStr"/>
      <c r="C109" t="inlineStr"/>
      <c r="D109" t="n">
        <v>700000</v>
      </c>
      <c r="E109" t="inlineStr"/>
    </row>
    <row r="110">
      <c r="A110" t="n">
        <v>901385344</v>
      </c>
      <c r="B110" t="inlineStr"/>
      <c r="C110" t="inlineStr"/>
      <c r="D110" t="n">
        <v>700000</v>
      </c>
      <c r="E110" t="inlineStr"/>
    </row>
    <row r="111">
      <c r="A111" t="n">
        <v>900994200</v>
      </c>
      <c r="B111" t="inlineStr"/>
      <c r="C111" t="inlineStr"/>
      <c r="D111" t="n">
        <v>683280</v>
      </c>
      <c r="E111" t="inlineStr"/>
    </row>
    <row r="112">
      <c r="A112" t="n">
        <v>900994200</v>
      </c>
      <c r="B112" t="inlineStr"/>
      <c r="C112" t="inlineStr"/>
      <c r="D112" t="n">
        <v>683280</v>
      </c>
      <c r="E112" t="inlineStr"/>
    </row>
    <row r="113">
      <c r="A113" t="n">
        <v>900019547</v>
      </c>
      <c r="B113" t="inlineStr"/>
      <c r="C113" t="inlineStr"/>
      <c r="D113" t="n">
        <v>669120</v>
      </c>
      <c r="E113" t="inlineStr"/>
    </row>
    <row r="114">
      <c r="A114" t="n">
        <v>900019547</v>
      </c>
      <c r="B114" t="inlineStr"/>
      <c r="C114" t="inlineStr"/>
      <c r="D114" t="n">
        <v>669120</v>
      </c>
      <c r="E114" t="inlineStr"/>
    </row>
    <row r="115">
      <c r="A115" t="n">
        <v>901291818</v>
      </c>
      <c r="B115" t="inlineStr"/>
      <c r="C115" t="inlineStr"/>
      <c r="D115" t="n">
        <v>668067</v>
      </c>
      <c r="E115" t="inlineStr"/>
    </row>
    <row r="116">
      <c r="A116" t="n">
        <v>1072699593</v>
      </c>
      <c r="B116" t="inlineStr"/>
      <c r="C116" t="inlineStr"/>
      <c r="D116" t="n">
        <v>665001</v>
      </c>
      <c r="E116" t="n">
        <v>90</v>
      </c>
    </row>
    <row r="117">
      <c r="A117" t="n">
        <v>91277495</v>
      </c>
      <c r="B117" t="inlineStr"/>
      <c r="C117" t="inlineStr"/>
      <c r="D117" t="n">
        <v>609800</v>
      </c>
      <c r="E117" t="inlineStr"/>
    </row>
    <row r="118">
      <c r="A118" t="n">
        <v>860009578</v>
      </c>
      <c r="B118" t="inlineStr"/>
      <c r="C118" t="inlineStr"/>
      <c r="D118" t="n">
        <v>609732</v>
      </c>
      <c r="E118" t="inlineStr"/>
    </row>
    <row r="119">
      <c r="A119" t="n">
        <v>901748436</v>
      </c>
      <c r="B119" t="inlineStr"/>
      <c r="C119" t="inlineStr"/>
      <c r="D119" t="n">
        <v>605151</v>
      </c>
      <c r="E119" t="inlineStr"/>
    </row>
    <row r="120">
      <c r="A120" t="n">
        <v>1128452509</v>
      </c>
      <c r="B120" t="inlineStr"/>
      <c r="C120" t="inlineStr"/>
      <c r="D120" t="n">
        <v>599700</v>
      </c>
      <c r="E120" t="n">
        <v>90</v>
      </c>
    </row>
    <row r="121">
      <c r="A121" t="n">
        <v>13720871</v>
      </c>
      <c r="B121" t="inlineStr"/>
      <c r="C121" t="inlineStr"/>
      <c r="D121" t="n">
        <v>599700</v>
      </c>
      <c r="E121" t="n">
        <v>90</v>
      </c>
    </row>
    <row r="122">
      <c r="A122" t="n">
        <v>88281896</v>
      </c>
      <c r="B122" t="inlineStr"/>
      <c r="C122" t="inlineStr"/>
      <c r="D122" t="n">
        <v>599700</v>
      </c>
      <c r="E122" t="n">
        <v>90</v>
      </c>
    </row>
    <row r="123">
      <c r="A123" t="n">
        <v>900785196</v>
      </c>
      <c r="B123" t="inlineStr"/>
      <c r="C123" t="inlineStr"/>
      <c r="D123" t="n">
        <v>570000</v>
      </c>
      <c r="E123" t="inlineStr"/>
    </row>
    <row r="124">
      <c r="A124" t="n">
        <v>900994200</v>
      </c>
      <c r="B124" t="inlineStr"/>
      <c r="C124" t="inlineStr"/>
      <c r="D124" t="n">
        <v>540931</v>
      </c>
      <c r="E124" t="inlineStr"/>
    </row>
    <row r="125">
      <c r="A125" t="n">
        <v>901748436</v>
      </c>
      <c r="B125" t="inlineStr"/>
      <c r="C125" t="inlineStr"/>
      <c r="D125" t="n">
        <v>521008</v>
      </c>
      <c r="E125" t="inlineStr"/>
    </row>
    <row r="126">
      <c r="A126" t="n">
        <v>901937902</v>
      </c>
      <c r="B126" t="inlineStr"/>
      <c r="C126" t="inlineStr"/>
      <c r="D126" t="n">
        <v>511718</v>
      </c>
      <c r="E126" t="inlineStr"/>
    </row>
    <row r="127">
      <c r="A127" t="n">
        <v>51986288</v>
      </c>
      <c r="B127" t="inlineStr"/>
      <c r="C127" t="inlineStr"/>
      <c r="D127" t="n">
        <v>505000</v>
      </c>
      <c r="E127" t="inlineStr"/>
    </row>
    <row r="128">
      <c r="A128" t="n">
        <v>80095582</v>
      </c>
      <c r="B128" t="inlineStr"/>
      <c r="C128" t="inlineStr"/>
      <c r="D128" t="n">
        <v>503000</v>
      </c>
      <c r="E128" t="inlineStr"/>
    </row>
    <row r="129">
      <c r="A129" t="n">
        <v>900610518</v>
      </c>
      <c r="B129" t="inlineStr"/>
      <c r="C129" t="inlineStr"/>
      <c r="D129" t="n">
        <v>487415</v>
      </c>
      <c r="E129" t="inlineStr"/>
    </row>
    <row r="130">
      <c r="A130" t="n">
        <v>800219876</v>
      </c>
      <c r="B130" t="inlineStr"/>
      <c r="C130" t="inlineStr"/>
      <c r="D130" t="n">
        <v>472605</v>
      </c>
      <c r="E130" t="inlineStr"/>
    </row>
    <row r="131">
      <c r="A131" t="n">
        <v>1022344726</v>
      </c>
      <c r="B131" t="inlineStr"/>
      <c r="C131" t="inlineStr"/>
      <c r="D131" t="n">
        <v>468100</v>
      </c>
      <c r="E131" t="inlineStr"/>
    </row>
    <row r="132">
      <c r="A132" t="n">
        <v>901291818</v>
      </c>
      <c r="B132" t="inlineStr"/>
      <c r="C132" t="inlineStr"/>
      <c r="D132" t="n">
        <v>378151</v>
      </c>
      <c r="E132" t="inlineStr"/>
    </row>
    <row r="133">
      <c r="A133" t="n">
        <v>900156839</v>
      </c>
      <c r="B133" t="inlineStr"/>
      <c r="C133" t="inlineStr"/>
      <c r="D133" t="n">
        <v>343136</v>
      </c>
      <c r="E133" t="inlineStr"/>
    </row>
    <row r="134">
      <c r="A134" t="n">
        <v>900156839</v>
      </c>
      <c r="B134" t="inlineStr"/>
      <c r="C134" t="inlineStr"/>
      <c r="D134" t="n">
        <v>343136</v>
      </c>
      <c r="E134" t="inlineStr"/>
    </row>
    <row r="135">
      <c r="A135" t="n">
        <v>900711248</v>
      </c>
      <c r="B135" t="inlineStr"/>
      <c r="C135" t="inlineStr"/>
      <c r="D135" t="n">
        <v>333533</v>
      </c>
      <c r="E135" t="inlineStr"/>
    </row>
    <row r="136">
      <c r="A136" t="n">
        <v>900468202</v>
      </c>
      <c r="B136" t="inlineStr"/>
      <c r="C136" t="inlineStr"/>
      <c r="D136" t="n">
        <v>330900</v>
      </c>
      <c r="E136" t="inlineStr"/>
    </row>
    <row r="137">
      <c r="A137" t="n">
        <v>900785196</v>
      </c>
      <c r="B137" t="inlineStr"/>
      <c r="C137" t="inlineStr"/>
      <c r="D137" t="n">
        <v>330000</v>
      </c>
      <c r="E137" t="inlineStr"/>
    </row>
    <row r="138">
      <c r="A138" t="n">
        <v>800049104</v>
      </c>
      <c r="B138" t="inlineStr"/>
      <c r="C138" t="inlineStr"/>
      <c r="D138" t="n">
        <v>320000</v>
      </c>
      <c r="E138" t="inlineStr"/>
    </row>
    <row r="139">
      <c r="A139" t="n">
        <v>900994200</v>
      </c>
      <c r="B139" t="inlineStr"/>
      <c r="C139" t="inlineStr"/>
      <c r="D139" t="n">
        <v>313170</v>
      </c>
      <c r="E139" t="inlineStr"/>
    </row>
    <row r="140">
      <c r="A140" t="n">
        <v>900465969</v>
      </c>
      <c r="B140" t="inlineStr"/>
      <c r="C140" t="inlineStr"/>
      <c r="D140" t="n">
        <v>310147</v>
      </c>
      <c r="E140" t="inlineStr"/>
    </row>
    <row r="141">
      <c r="A141" t="n">
        <v>860063875</v>
      </c>
      <c r="B141" t="inlineStr"/>
      <c r="C141" t="inlineStr"/>
      <c r="D141" t="n">
        <v>306780</v>
      </c>
      <c r="E141" t="inlineStr"/>
    </row>
    <row r="142">
      <c r="A142" t="n">
        <v>860063875</v>
      </c>
      <c r="B142" t="inlineStr"/>
      <c r="C142" t="inlineStr"/>
      <c r="D142" t="n">
        <v>306780</v>
      </c>
      <c r="E142" t="inlineStr"/>
    </row>
    <row r="143">
      <c r="A143" t="n">
        <v>830033970</v>
      </c>
      <c r="B143" t="inlineStr"/>
      <c r="C143" t="inlineStr"/>
      <c r="D143" t="n">
        <v>291096</v>
      </c>
      <c r="E143" t="inlineStr"/>
    </row>
    <row r="144">
      <c r="A144" t="n">
        <v>900468202</v>
      </c>
      <c r="B144" t="inlineStr"/>
      <c r="C144" t="inlineStr"/>
      <c r="D144" t="n">
        <v>287056</v>
      </c>
      <c r="E144" t="inlineStr"/>
    </row>
    <row r="145">
      <c r="A145" t="n">
        <v>79580921</v>
      </c>
      <c r="B145" t="inlineStr"/>
      <c r="C145" t="inlineStr"/>
      <c r="D145" t="n">
        <v>285085</v>
      </c>
      <c r="E145" t="inlineStr"/>
    </row>
    <row r="146">
      <c r="A146" t="n">
        <v>900019547</v>
      </c>
      <c r="B146" t="inlineStr"/>
      <c r="C146" t="inlineStr"/>
      <c r="D146" t="n">
        <v>278031</v>
      </c>
      <c r="E146" t="inlineStr"/>
    </row>
    <row r="147">
      <c r="A147" t="n">
        <v>901649428</v>
      </c>
      <c r="B147" t="inlineStr"/>
      <c r="C147" t="inlineStr"/>
      <c r="D147" t="n">
        <v>272700</v>
      </c>
      <c r="E147" t="inlineStr"/>
    </row>
    <row r="148">
      <c r="A148" t="n">
        <v>901385344</v>
      </c>
      <c r="B148" t="inlineStr"/>
      <c r="C148" t="inlineStr"/>
      <c r="D148" t="n">
        <v>266000</v>
      </c>
      <c r="E148" t="inlineStr"/>
    </row>
    <row r="149">
      <c r="A149" t="n">
        <v>830033970</v>
      </c>
      <c r="B149" t="inlineStr"/>
      <c r="C149" t="inlineStr"/>
      <c r="D149" t="n">
        <v>262174</v>
      </c>
      <c r="E149" t="inlineStr"/>
    </row>
    <row r="150">
      <c r="A150" t="n">
        <v>900019547</v>
      </c>
      <c r="B150" t="inlineStr"/>
      <c r="C150" t="inlineStr"/>
      <c r="D150" t="n">
        <v>257436</v>
      </c>
      <c r="E150" t="inlineStr"/>
    </row>
    <row r="151">
      <c r="A151" t="n">
        <v>800049104</v>
      </c>
      <c r="B151" t="inlineStr"/>
      <c r="C151" t="inlineStr"/>
      <c r="D151" t="n">
        <v>251400</v>
      </c>
      <c r="E151" t="inlineStr"/>
    </row>
    <row r="152">
      <c r="A152" t="n">
        <v>79580921</v>
      </c>
      <c r="B152" t="inlineStr"/>
      <c r="C152" t="inlineStr"/>
      <c r="D152" t="n">
        <v>250000</v>
      </c>
      <c r="E152" t="inlineStr"/>
    </row>
    <row r="153">
      <c r="A153" t="n">
        <v>800049104</v>
      </c>
      <c r="B153" t="inlineStr"/>
      <c r="C153" t="inlineStr"/>
      <c r="D153" t="n">
        <v>248900</v>
      </c>
      <c r="E153" t="inlineStr"/>
    </row>
    <row r="154">
      <c r="A154" t="n">
        <v>900019547</v>
      </c>
      <c r="B154" t="inlineStr"/>
      <c r="C154" t="inlineStr"/>
      <c r="D154" t="n">
        <v>247139</v>
      </c>
      <c r="E154" t="inlineStr"/>
    </row>
    <row r="155">
      <c r="A155" t="n">
        <v>900019547</v>
      </c>
      <c r="B155" t="inlineStr"/>
      <c r="C155" t="inlineStr"/>
      <c r="D155" t="n">
        <v>247139</v>
      </c>
      <c r="E155" t="inlineStr"/>
    </row>
    <row r="156">
      <c r="A156" t="n">
        <v>800049104</v>
      </c>
      <c r="B156" t="inlineStr"/>
      <c r="C156" t="inlineStr"/>
      <c r="D156" t="n">
        <v>245000</v>
      </c>
      <c r="E156" t="inlineStr"/>
    </row>
    <row r="157">
      <c r="A157" t="n">
        <v>900019547</v>
      </c>
      <c r="B157" t="inlineStr"/>
      <c r="C157" t="inlineStr"/>
      <c r="D157" t="n">
        <v>244988</v>
      </c>
      <c r="E157" t="inlineStr"/>
    </row>
    <row r="158">
      <c r="A158" t="n">
        <v>23466844</v>
      </c>
      <c r="B158" t="inlineStr"/>
      <c r="C158" t="inlineStr"/>
      <c r="D158" t="n">
        <v>234251</v>
      </c>
      <c r="E158" t="inlineStr"/>
    </row>
    <row r="159">
      <c r="A159" t="n">
        <v>901517223</v>
      </c>
      <c r="B159" t="inlineStr"/>
      <c r="C159" t="inlineStr"/>
      <c r="D159" t="n">
        <v>234053</v>
      </c>
      <c r="E159" t="inlineStr"/>
    </row>
    <row r="160">
      <c r="A160" t="n">
        <v>901649428</v>
      </c>
      <c r="B160" t="inlineStr"/>
      <c r="C160" t="inlineStr"/>
      <c r="D160" t="n">
        <v>229160</v>
      </c>
      <c r="E160" t="inlineStr"/>
    </row>
    <row r="161">
      <c r="A161" t="n">
        <v>1075243024</v>
      </c>
      <c r="B161" t="inlineStr"/>
      <c r="C161" t="inlineStr"/>
      <c r="D161" t="n">
        <v>225288</v>
      </c>
      <c r="E161" t="inlineStr"/>
    </row>
    <row r="162">
      <c r="A162" t="n">
        <v>860039988</v>
      </c>
      <c r="B162" t="inlineStr"/>
      <c r="C162" t="inlineStr"/>
      <c r="D162" t="n">
        <v>223044</v>
      </c>
      <c r="E162" t="inlineStr"/>
    </row>
    <row r="163">
      <c r="A163" t="n">
        <v>860039988</v>
      </c>
      <c r="B163" t="inlineStr"/>
      <c r="C163" t="inlineStr"/>
      <c r="D163" t="n">
        <v>223044</v>
      </c>
      <c r="E163" t="inlineStr"/>
    </row>
    <row r="164">
      <c r="A164" t="n">
        <v>901590013</v>
      </c>
      <c r="B164" t="inlineStr"/>
      <c r="C164" t="inlineStr"/>
      <c r="D164" t="n">
        <v>220000</v>
      </c>
      <c r="E164" t="inlineStr"/>
    </row>
    <row r="165">
      <c r="A165" t="n">
        <v>900092385</v>
      </c>
      <c r="B165" t="inlineStr"/>
      <c r="C165" t="inlineStr"/>
      <c r="D165" t="n">
        <v>218510</v>
      </c>
      <c r="E165" t="inlineStr"/>
    </row>
    <row r="166">
      <c r="A166" t="n">
        <v>19413366</v>
      </c>
      <c r="B166" t="inlineStr"/>
      <c r="C166" t="inlineStr"/>
      <c r="D166" t="n">
        <v>211280</v>
      </c>
      <c r="E166" t="inlineStr"/>
    </row>
    <row r="167">
      <c r="A167" t="n">
        <v>901952530</v>
      </c>
      <c r="B167" t="inlineStr"/>
      <c r="C167" t="inlineStr"/>
      <c r="D167" t="n">
        <v>210100</v>
      </c>
      <c r="E167" t="inlineStr"/>
    </row>
    <row r="168">
      <c r="A168" t="n">
        <v>8733680</v>
      </c>
      <c r="B168" t="inlineStr"/>
      <c r="C168" t="inlineStr"/>
      <c r="D168" t="n">
        <v>201742</v>
      </c>
      <c r="E168" t="inlineStr"/>
    </row>
    <row r="169">
      <c r="A169" t="n">
        <v>23466844</v>
      </c>
      <c r="B169" t="inlineStr"/>
      <c r="C169" t="inlineStr"/>
      <c r="D169" t="n">
        <v>201680</v>
      </c>
      <c r="E169" t="inlineStr"/>
    </row>
    <row r="170">
      <c r="A170" t="n">
        <v>1013633604</v>
      </c>
      <c r="B170" t="inlineStr"/>
      <c r="C170" t="inlineStr"/>
      <c r="D170" t="n">
        <v>200101</v>
      </c>
      <c r="E170" t="n">
        <v>90</v>
      </c>
    </row>
    <row r="171">
      <c r="A171" t="n">
        <v>1020792684</v>
      </c>
      <c r="B171" t="inlineStr"/>
      <c r="C171" t="inlineStr"/>
      <c r="D171" t="n">
        <v>200101</v>
      </c>
      <c r="E171" t="n">
        <v>90</v>
      </c>
    </row>
    <row r="172">
      <c r="A172" t="n">
        <v>1090509220</v>
      </c>
      <c r="B172" t="inlineStr"/>
      <c r="C172" t="inlineStr"/>
      <c r="D172" t="n">
        <v>200101</v>
      </c>
      <c r="E172" t="inlineStr"/>
    </row>
    <row r="173">
      <c r="A173" t="n">
        <v>79613401</v>
      </c>
      <c r="B173" t="inlineStr"/>
      <c r="C173" t="inlineStr"/>
      <c r="D173" t="n">
        <v>200101</v>
      </c>
      <c r="E173" t="inlineStr"/>
    </row>
    <row r="174">
      <c r="A174" t="n">
        <v>900178724</v>
      </c>
      <c r="B174" t="inlineStr"/>
      <c r="C174" t="inlineStr"/>
      <c r="D174" t="n">
        <v>200101</v>
      </c>
      <c r="E174" t="inlineStr"/>
    </row>
    <row r="175">
      <c r="A175" t="n">
        <v>1033340282</v>
      </c>
      <c r="B175" t="inlineStr"/>
      <c r="C175" t="inlineStr"/>
      <c r="D175" t="n">
        <v>200101</v>
      </c>
      <c r="E175" t="inlineStr"/>
    </row>
    <row r="176">
      <c r="A176" t="n">
        <v>52005033</v>
      </c>
      <c r="B176" t="inlineStr"/>
      <c r="C176" t="inlineStr"/>
      <c r="D176" t="n">
        <v>200101</v>
      </c>
      <c r="E176" t="n">
        <v>90</v>
      </c>
    </row>
    <row r="177">
      <c r="A177" t="n">
        <v>13871188</v>
      </c>
      <c r="B177" t="inlineStr"/>
      <c r="C177" t="inlineStr"/>
      <c r="D177" t="n">
        <v>200101</v>
      </c>
      <c r="E177" t="n">
        <v>90</v>
      </c>
    </row>
    <row r="178">
      <c r="A178" t="n">
        <v>1010056001</v>
      </c>
      <c r="B178" t="inlineStr"/>
      <c r="C178" t="inlineStr"/>
      <c r="D178" t="n">
        <v>200100</v>
      </c>
      <c r="E178" t="n">
        <v>90</v>
      </c>
    </row>
    <row r="179">
      <c r="A179" t="n">
        <v>85201428</v>
      </c>
      <c r="B179" t="inlineStr"/>
      <c r="C179" t="inlineStr"/>
      <c r="D179" t="n">
        <v>200100</v>
      </c>
      <c r="E179" t="inlineStr"/>
    </row>
    <row r="180">
      <c r="A180" t="n">
        <v>52030991</v>
      </c>
      <c r="B180" t="inlineStr"/>
      <c r="C180" t="inlineStr"/>
      <c r="D180" t="n">
        <v>200001</v>
      </c>
      <c r="E180" t="n">
        <v>90</v>
      </c>
    </row>
    <row r="181">
      <c r="A181" t="n">
        <v>900178724</v>
      </c>
      <c r="B181" t="inlineStr"/>
      <c r="C181" t="inlineStr"/>
      <c r="D181" t="n">
        <v>200000</v>
      </c>
      <c r="E181" t="inlineStr"/>
    </row>
    <row r="182">
      <c r="A182" t="n">
        <v>901952530</v>
      </c>
      <c r="B182" t="inlineStr"/>
      <c r="C182" t="inlineStr"/>
      <c r="D182" t="n">
        <v>194537</v>
      </c>
      <c r="E182" t="inlineStr"/>
    </row>
    <row r="183">
      <c r="A183" t="n">
        <v>8733680</v>
      </c>
      <c r="B183" t="inlineStr"/>
      <c r="C183" t="inlineStr"/>
      <c r="D183" t="n">
        <v>193055</v>
      </c>
      <c r="E183" t="inlineStr"/>
    </row>
    <row r="184">
      <c r="A184" t="n">
        <v>444444054</v>
      </c>
      <c r="B184" t="inlineStr"/>
      <c r="C184" t="inlineStr"/>
      <c r="D184" t="n">
        <v>185873.89</v>
      </c>
      <c r="E184" t="inlineStr"/>
    </row>
    <row r="185">
      <c r="A185" t="n">
        <v>1014250702</v>
      </c>
      <c r="B185" t="inlineStr"/>
      <c r="C185" t="inlineStr"/>
      <c r="D185" t="n">
        <v>182216</v>
      </c>
      <c r="E185" t="inlineStr"/>
    </row>
    <row r="186">
      <c r="A186" t="n">
        <v>830086199</v>
      </c>
      <c r="B186" t="inlineStr"/>
      <c r="C186" t="inlineStr"/>
      <c r="D186" t="n">
        <v>170030</v>
      </c>
      <c r="E186" t="inlineStr"/>
    </row>
    <row r="187">
      <c r="A187" t="n">
        <v>900272426</v>
      </c>
      <c r="B187" t="inlineStr"/>
      <c r="C187" t="inlineStr"/>
      <c r="D187" t="n">
        <v>170000</v>
      </c>
      <c r="E187" t="inlineStr"/>
    </row>
    <row r="188">
      <c r="A188" t="n">
        <v>900272426</v>
      </c>
      <c r="B188" t="inlineStr"/>
      <c r="C188" t="inlineStr"/>
      <c r="D188" t="n">
        <v>170000</v>
      </c>
      <c r="E188" t="inlineStr"/>
    </row>
    <row r="189">
      <c r="A189" t="n">
        <v>52470005</v>
      </c>
      <c r="B189" t="inlineStr"/>
      <c r="C189" t="inlineStr"/>
      <c r="D189" t="n">
        <v>160000</v>
      </c>
      <c r="E189" t="inlineStr"/>
    </row>
    <row r="190">
      <c r="A190" t="n">
        <v>52470005</v>
      </c>
      <c r="B190" t="inlineStr"/>
      <c r="C190" t="inlineStr"/>
      <c r="D190" t="n">
        <v>160000</v>
      </c>
      <c r="E190" t="inlineStr"/>
    </row>
    <row r="191">
      <c r="A191" t="n">
        <v>1014250702</v>
      </c>
      <c r="B191" t="inlineStr"/>
      <c r="C191" t="inlineStr"/>
      <c r="D191" t="n">
        <v>159670</v>
      </c>
      <c r="E191" t="inlineStr"/>
    </row>
    <row r="192">
      <c r="A192" t="n">
        <v>822000897</v>
      </c>
      <c r="B192" t="inlineStr"/>
      <c r="C192" t="inlineStr"/>
      <c r="D192" t="n">
        <v>158629</v>
      </c>
      <c r="E192" t="inlineStr"/>
    </row>
    <row r="193">
      <c r="A193" t="n">
        <v>901365432</v>
      </c>
      <c r="B193" t="inlineStr"/>
      <c r="C193" t="inlineStr"/>
      <c r="D193" t="n">
        <v>150128</v>
      </c>
      <c r="E193" t="inlineStr"/>
    </row>
    <row r="194">
      <c r="A194" t="n">
        <v>40386676</v>
      </c>
      <c r="B194" t="inlineStr"/>
      <c r="C194" t="inlineStr"/>
      <c r="D194" t="n">
        <v>150000</v>
      </c>
      <c r="E194" t="inlineStr"/>
    </row>
    <row r="195">
      <c r="A195" t="n">
        <v>40386676</v>
      </c>
      <c r="B195" t="inlineStr"/>
      <c r="C195" t="inlineStr"/>
      <c r="D195" t="n">
        <v>150000</v>
      </c>
      <c r="E195" t="inlineStr"/>
    </row>
    <row r="196">
      <c r="A196" t="n">
        <v>900156839</v>
      </c>
      <c r="B196" t="inlineStr"/>
      <c r="C196" t="inlineStr"/>
      <c r="D196" t="n">
        <v>149580</v>
      </c>
      <c r="E196" t="inlineStr"/>
    </row>
    <row r="197">
      <c r="A197" t="n">
        <v>900156839</v>
      </c>
      <c r="B197" t="inlineStr"/>
      <c r="C197" t="inlineStr"/>
      <c r="D197" t="n">
        <v>149580</v>
      </c>
      <c r="E197" t="inlineStr"/>
    </row>
    <row r="198">
      <c r="A198" t="n">
        <v>900156839</v>
      </c>
      <c r="B198" t="inlineStr"/>
      <c r="C198" t="inlineStr"/>
      <c r="D198" t="n">
        <v>149580</v>
      </c>
      <c r="E198" t="inlineStr"/>
    </row>
    <row r="199">
      <c r="A199" t="n">
        <v>900156839</v>
      </c>
      <c r="B199" t="inlineStr"/>
      <c r="C199" t="inlineStr"/>
      <c r="D199" t="n">
        <v>149580</v>
      </c>
      <c r="E199" t="inlineStr"/>
    </row>
    <row r="200">
      <c r="A200" t="n">
        <v>1095786398</v>
      </c>
      <c r="B200" t="inlineStr"/>
      <c r="C200" t="inlineStr"/>
      <c r="D200" t="n">
        <v>147000</v>
      </c>
      <c r="E200" t="n">
        <v>90</v>
      </c>
    </row>
    <row r="201">
      <c r="A201" t="n">
        <v>1020733194</v>
      </c>
      <c r="B201" t="inlineStr"/>
      <c r="C201" t="inlineStr"/>
      <c r="D201" t="n">
        <v>147000</v>
      </c>
      <c r="E201" t="n">
        <v>90</v>
      </c>
    </row>
    <row r="202">
      <c r="A202" t="n">
        <v>1022344726</v>
      </c>
      <c r="B202" t="inlineStr"/>
      <c r="C202" t="inlineStr"/>
      <c r="D202" t="n">
        <v>147000</v>
      </c>
      <c r="E202" t="n">
        <v>90</v>
      </c>
    </row>
    <row r="203">
      <c r="A203" t="n">
        <v>80095582</v>
      </c>
      <c r="B203" t="inlineStr"/>
      <c r="C203" t="inlineStr"/>
      <c r="D203" t="n">
        <v>139440</v>
      </c>
      <c r="E203" t="inlineStr"/>
    </row>
    <row r="204">
      <c r="A204" t="n">
        <v>800140887</v>
      </c>
      <c r="B204" t="inlineStr"/>
      <c r="C204" t="inlineStr"/>
      <c r="D204" t="n">
        <v>135233</v>
      </c>
      <c r="E204" t="inlineStr"/>
    </row>
    <row r="205">
      <c r="A205" t="n">
        <v>444444054</v>
      </c>
      <c r="B205" t="inlineStr"/>
      <c r="C205" t="inlineStr"/>
      <c r="D205" t="n">
        <v>135181.01</v>
      </c>
      <c r="E205" t="inlineStr"/>
    </row>
    <row r="206">
      <c r="A206" t="n">
        <v>901517223</v>
      </c>
      <c r="B206" t="inlineStr"/>
      <c r="C206" t="inlineStr"/>
      <c r="D206" t="n">
        <v>133410</v>
      </c>
      <c r="E206" t="inlineStr"/>
    </row>
    <row r="207">
      <c r="A207" t="n">
        <v>901291818</v>
      </c>
      <c r="B207" t="inlineStr"/>
      <c r="C207" t="inlineStr"/>
      <c r="D207" t="n">
        <v>126933</v>
      </c>
      <c r="E207" t="inlineStr"/>
    </row>
    <row r="208">
      <c r="A208" t="n">
        <v>1013602713</v>
      </c>
      <c r="B208" t="inlineStr"/>
      <c r="C208" t="inlineStr"/>
      <c r="D208" t="n">
        <v>126336</v>
      </c>
      <c r="E208" t="inlineStr"/>
    </row>
    <row r="209">
      <c r="A209" t="n">
        <v>800049104</v>
      </c>
      <c r="B209" t="inlineStr"/>
      <c r="C209" t="inlineStr"/>
      <c r="D209" t="n">
        <v>125500</v>
      </c>
      <c r="E209" t="inlineStr"/>
    </row>
    <row r="210">
      <c r="A210" t="n">
        <v>44444471</v>
      </c>
      <c r="B210" t="inlineStr"/>
      <c r="C210" t="inlineStr"/>
      <c r="D210" t="n">
        <v>117475.1</v>
      </c>
      <c r="E210" t="inlineStr"/>
    </row>
    <row r="211">
      <c r="A211" t="n">
        <v>1121823072</v>
      </c>
      <c r="B211" t="inlineStr"/>
      <c r="C211" t="inlineStr"/>
      <c r="D211" t="n">
        <v>112786</v>
      </c>
      <c r="E211" t="inlineStr"/>
    </row>
    <row r="212">
      <c r="A212" t="n">
        <v>800049104</v>
      </c>
      <c r="B212" t="inlineStr"/>
      <c r="C212" t="inlineStr"/>
      <c r="D212" t="n">
        <v>111700</v>
      </c>
      <c r="E212" t="inlineStr"/>
    </row>
    <row r="213">
      <c r="A213" t="n">
        <v>800049104</v>
      </c>
      <c r="B213" t="inlineStr"/>
      <c r="C213" t="inlineStr"/>
      <c r="D213" t="n">
        <v>111700</v>
      </c>
      <c r="E213" t="inlineStr"/>
    </row>
    <row r="214">
      <c r="A214" t="n">
        <v>800049104</v>
      </c>
      <c r="B214" t="inlineStr"/>
      <c r="C214" t="inlineStr"/>
      <c r="D214" t="n">
        <v>109800</v>
      </c>
      <c r="E214" t="inlineStr"/>
    </row>
    <row r="215">
      <c r="A215" t="n">
        <v>800049104</v>
      </c>
      <c r="B215" t="inlineStr"/>
      <c r="C215" t="inlineStr"/>
      <c r="D215" t="n">
        <v>109800</v>
      </c>
      <c r="E215" t="inlineStr"/>
    </row>
    <row r="216">
      <c r="A216" t="n">
        <v>800049104</v>
      </c>
      <c r="B216" t="inlineStr"/>
      <c r="C216" t="inlineStr"/>
      <c r="D216" t="n">
        <v>109800</v>
      </c>
      <c r="E216" t="inlineStr"/>
    </row>
    <row r="217">
      <c r="A217" t="n">
        <v>800049104</v>
      </c>
      <c r="B217" t="inlineStr"/>
      <c r="C217" t="inlineStr"/>
      <c r="D217" t="n">
        <v>109800</v>
      </c>
      <c r="E217" t="inlineStr"/>
    </row>
    <row r="218">
      <c r="A218" t="n">
        <v>899999007</v>
      </c>
      <c r="B218" t="inlineStr"/>
      <c r="C218" t="inlineStr"/>
      <c r="D218" t="n">
        <v>109500</v>
      </c>
      <c r="E218" t="inlineStr"/>
    </row>
    <row r="219">
      <c r="A219" t="n">
        <v>800049104</v>
      </c>
      <c r="B219" t="inlineStr"/>
      <c r="C219" t="inlineStr"/>
      <c r="D219" t="n">
        <v>105100</v>
      </c>
      <c r="E219" t="inlineStr"/>
    </row>
    <row r="220">
      <c r="A220" t="n">
        <v>79729680</v>
      </c>
      <c r="B220" t="inlineStr"/>
      <c r="C220" t="inlineStr"/>
      <c r="D220" t="n">
        <v>100128</v>
      </c>
      <c r="E220" t="inlineStr"/>
    </row>
    <row r="221">
      <c r="A221" t="n">
        <v>20633928</v>
      </c>
      <c r="B221" t="inlineStr"/>
      <c r="C221" t="inlineStr"/>
      <c r="D221" t="n">
        <v>99960</v>
      </c>
      <c r="E221" t="inlineStr"/>
    </row>
    <row r="222">
      <c r="A222" t="n">
        <v>901748436</v>
      </c>
      <c r="B222" t="inlineStr"/>
      <c r="C222" t="inlineStr"/>
      <c r="D222" t="n">
        <v>98992</v>
      </c>
      <c r="E222" t="inlineStr"/>
    </row>
    <row r="223">
      <c r="A223" t="n">
        <v>79653374</v>
      </c>
      <c r="B223" t="inlineStr"/>
      <c r="C223" t="inlineStr"/>
      <c r="D223" t="n">
        <v>98965</v>
      </c>
      <c r="E223" t="inlineStr"/>
    </row>
    <row r="224">
      <c r="A224" t="n">
        <v>892100110</v>
      </c>
      <c r="B224" t="inlineStr"/>
      <c r="C224" t="inlineStr"/>
      <c r="D224" t="n">
        <v>98000</v>
      </c>
      <c r="E224" t="inlineStr"/>
    </row>
    <row r="225">
      <c r="A225" t="n">
        <v>800049104</v>
      </c>
      <c r="B225" t="inlineStr"/>
      <c r="C225" t="inlineStr"/>
      <c r="D225" t="n">
        <v>97400</v>
      </c>
      <c r="E225" t="inlineStr"/>
    </row>
    <row r="226">
      <c r="A226" t="n">
        <v>44444471</v>
      </c>
      <c r="B226" t="inlineStr"/>
      <c r="C226" t="inlineStr"/>
      <c r="D226" t="n">
        <v>95520</v>
      </c>
      <c r="E226" t="inlineStr"/>
    </row>
    <row r="227">
      <c r="A227" t="n">
        <v>44444471</v>
      </c>
      <c r="B227" t="inlineStr"/>
      <c r="C227" t="inlineStr"/>
      <c r="D227" t="n">
        <v>95520</v>
      </c>
      <c r="E227" t="inlineStr"/>
    </row>
    <row r="228">
      <c r="A228" t="n">
        <v>20633928</v>
      </c>
      <c r="B228" t="inlineStr"/>
      <c r="C228" t="inlineStr"/>
      <c r="D228" t="n">
        <v>95200</v>
      </c>
      <c r="E228" t="inlineStr"/>
    </row>
    <row r="229">
      <c r="A229" t="n">
        <v>901290935</v>
      </c>
      <c r="B229" t="inlineStr"/>
      <c r="C229" t="inlineStr"/>
      <c r="D229" t="n">
        <v>92800</v>
      </c>
      <c r="E229" t="inlineStr"/>
    </row>
    <row r="230">
      <c r="A230" t="n">
        <v>830122566</v>
      </c>
      <c r="B230" t="inlineStr"/>
      <c r="C230" t="inlineStr"/>
      <c r="D230" t="n">
        <v>91585</v>
      </c>
      <c r="E230" t="inlineStr"/>
    </row>
    <row r="231">
      <c r="A231" t="n">
        <v>800153993</v>
      </c>
      <c r="B231" t="inlineStr"/>
      <c r="C231" t="inlineStr"/>
      <c r="D231" t="n">
        <v>91031</v>
      </c>
      <c r="E231" t="inlineStr"/>
    </row>
    <row r="232">
      <c r="A232" t="n">
        <v>900019547</v>
      </c>
      <c r="B232" t="inlineStr"/>
      <c r="C232" t="inlineStr"/>
      <c r="D232" t="n">
        <v>90462</v>
      </c>
      <c r="E232" t="inlineStr"/>
    </row>
    <row r="233">
      <c r="A233" t="n">
        <v>44444471</v>
      </c>
      <c r="B233" t="inlineStr"/>
      <c r="C233" t="inlineStr"/>
      <c r="D233" t="n">
        <v>90455.83</v>
      </c>
      <c r="E233" t="inlineStr"/>
    </row>
    <row r="234">
      <c r="A234" t="n">
        <v>901687291</v>
      </c>
      <c r="B234" t="inlineStr"/>
      <c r="C234" t="inlineStr"/>
      <c r="D234" t="n">
        <v>89200</v>
      </c>
      <c r="E234" t="inlineStr"/>
    </row>
    <row r="235">
      <c r="A235" t="n">
        <v>5463640</v>
      </c>
      <c r="B235" t="inlineStr"/>
      <c r="C235" t="inlineStr"/>
      <c r="D235" t="n">
        <v>85000</v>
      </c>
      <c r="E235" t="inlineStr"/>
    </row>
    <row r="236">
      <c r="A236" t="n">
        <v>5463640</v>
      </c>
      <c r="B236" t="inlineStr"/>
      <c r="C236" t="inlineStr"/>
      <c r="D236" t="n">
        <v>85000</v>
      </c>
      <c r="E236" t="inlineStr"/>
    </row>
    <row r="237">
      <c r="A237" t="n">
        <v>20633928</v>
      </c>
      <c r="B237" t="inlineStr"/>
      <c r="C237" t="inlineStr"/>
      <c r="D237" t="n">
        <v>84000</v>
      </c>
      <c r="E237" t="inlineStr"/>
    </row>
    <row r="238">
      <c r="A238" t="n">
        <v>79653374</v>
      </c>
      <c r="B238" t="inlineStr"/>
      <c r="C238" t="inlineStr"/>
      <c r="D238" t="n">
        <v>83164</v>
      </c>
      <c r="E238" t="inlineStr"/>
    </row>
    <row r="239">
      <c r="A239" t="n">
        <v>901687291</v>
      </c>
      <c r="B239" t="inlineStr"/>
      <c r="C239" t="inlineStr"/>
      <c r="D239" t="n">
        <v>82593</v>
      </c>
      <c r="E239" t="inlineStr"/>
    </row>
    <row r="240">
      <c r="A240" t="n">
        <v>800049104</v>
      </c>
      <c r="B240" t="inlineStr"/>
      <c r="C240" t="inlineStr"/>
      <c r="D240" t="n">
        <v>81754</v>
      </c>
      <c r="E240" t="inlineStr"/>
    </row>
    <row r="241">
      <c r="A241" t="n">
        <v>444444474</v>
      </c>
      <c r="B241" t="inlineStr"/>
      <c r="C241" t="inlineStr"/>
      <c r="D241" t="n">
        <v>81432.57000000001</v>
      </c>
      <c r="E241" t="inlineStr"/>
    </row>
    <row r="242">
      <c r="A242" t="n">
        <v>444444474</v>
      </c>
      <c r="B242" t="inlineStr"/>
      <c r="C242" t="inlineStr"/>
      <c r="D242" t="n">
        <v>81432.57000000001</v>
      </c>
      <c r="E242" t="inlineStr"/>
    </row>
    <row r="243">
      <c r="A243" t="n">
        <v>800049104</v>
      </c>
      <c r="B243" t="inlineStr"/>
      <c r="C243" t="inlineStr"/>
      <c r="D243" t="n">
        <v>80700</v>
      </c>
      <c r="E243" t="inlineStr"/>
    </row>
    <row r="244">
      <c r="A244" t="n">
        <v>800049104</v>
      </c>
      <c r="B244" t="inlineStr"/>
      <c r="C244" t="inlineStr"/>
      <c r="D244" t="n">
        <v>80700</v>
      </c>
      <c r="E244" t="inlineStr"/>
    </row>
    <row r="245">
      <c r="A245" t="n">
        <v>800049104</v>
      </c>
      <c r="B245" t="inlineStr"/>
      <c r="C245" t="inlineStr"/>
      <c r="D245" t="n">
        <v>80700</v>
      </c>
      <c r="E245" t="inlineStr"/>
    </row>
    <row r="246">
      <c r="A246" t="n">
        <v>800049104</v>
      </c>
      <c r="B246" t="inlineStr"/>
      <c r="C246" t="inlineStr"/>
      <c r="D246" t="n">
        <v>80700</v>
      </c>
      <c r="E246" t="inlineStr"/>
    </row>
    <row r="247">
      <c r="A247" t="n">
        <v>800049104</v>
      </c>
      <c r="B247" t="inlineStr"/>
      <c r="C247" t="inlineStr"/>
      <c r="D247" t="n">
        <v>80700</v>
      </c>
      <c r="E247" t="inlineStr"/>
    </row>
    <row r="248">
      <c r="A248" t="n">
        <v>800049104</v>
      </c>
      <c r="B248" t="inlineStr"/>
      <c r="C248" t="inlineStr"/>
      <c r="D248" t="n">
        <v>80700</v>
      </c>
      <c r="E248" t="inlineStr"/>
    </row>
    <row r="249">
      <c r="A249" t="n">
        <v>800049104</v>
      </c>
      <c r="B249" t="inlineStr"/>
      <c r="C249" t="inlineStr"/>
      <c r="D249" t="n">
        <v>80700</v>
      </c>
      <c r="E249" t="inlineStr"/>
    </row>
    <row r="250">
      <c r="A250" t="n">
        <v>800049104</v>
      </c>
      <c r="B250" t="inlineStr"/>
      <c r="C250" t="inlineStr"/>
      <c r="D250" t="n">
        <v>80700</v>
      </c>
      <c r="E250" t="inlineStr"/>
    </row>
    <row r="251">
      <c r="A251" t="n">
        <v>800049104</v>
      </c>
      <c r="B251" t="inlineStr"/>
      <c r="C251" t="inlineStr"/>
      <c r="D251" t="n">
        <v>80700</v>
      </c>
      <c r="E251" t="inlineStr"/>
    </row>
    <row r="252">
      <c r="A252" t="n">
        <v>20633928</v>
      </c>
      <c r="B252" t="inlineStr"/>
      <c r="C252" t="inlineStr"/>
      <c r="D252" t="n">
        <v>80000</v>
      </c>
      <c r="E252" t="inlineStr"/>
    </row>
    <row r="253">
      <c r="A253" t="n">
        <v>13481943</v>
      </c>
      <c r="B253" t="inlineStr"/>
      <c r="C253" t="inlineStr"/>
      <c r="D253" t="n">
        <v>78000</v>
      </c>
      <c r="E253" t="inlineStr"/>
    </row>
    <row r="254">
      <c r="A254" t="n">
        <v>901703185</v>
      </c>
      <c r="B254" t="inlineStr"/>
      <c r="C254" t="inlineStr"/>
      <c r="D254" t="n">
        <v>78000</v>
      </c>
      <c r="E254" t="inlineStr"/>
    </row>
    <row r="255">
      <c r="A255" t="n">
        <v>800049104</v>
      </c>
      <c r="B255" t="inlineStr"/>
      <c r="C255" t="inlineStr"/>
      <c r="D255" t="n">
        <v>77900</v>
      </c>
      <c r="E255" t="inlineStr"/>
    </row>
    <row r="256">
      <c r="A256" t="n">
        <v>44444471</v>
      </c>
      <c r="B256" t="inlineStr"/>
      <c r="C256" t="inlineStr"/>
      <c r="D256" t="n">
        <v>77147.84</v>
      </c>
      <c r="E256" t="inlineStr"/>
    </row>
    <row r="257">
      <c r="A257" t="n">
        <v>44444471</v>
      </c>
      <c r="B257" t="inlineStr"/>
      <c r="C257" t="inlineStr"/>
      <c r="D257" t="n">
        <v>77147.84</v>
      </c>
      <c r="E257" t="inlineStr"/>
    </row>
    <row r="258">
      <c r="A258" t="n">
        <v>900019547</v>
      </c>
      <c r="B258" t="inlineStr"/>
      <c r="C258" t="inlineStr"/>
      <c r="D258" t="n">
        <v>76018</v>
      </c>
      <c r="E258" t="inlineStr"/>
    </row>
    <row r="259">
      <c r="A259" t="n">
        <v>1013633604</v>
      </c>
      <c r="B259" t="inlineStr"/>
      <c r="C259" t="inlineStr"/>
      <c r="D259" t="n">
        <v>73500</v>
      </c>
      <c r="E259" t="n">
        <v>90</v>
      </c>
    </row>
    <row r="260">
      <c r="A260" t="n">
        <v>1031145571</v>
      </c>
      <c r="B260" t="inlineStr"/>
      <c r="C260" t="inlineStr"/>
      <c r="D260" t="n">
        <v>73500</v>
      </c>
      <c r="E260" t="n">
        <v>90</v>
      </c>
    </row>
    <row r="261">
      <c r="A261" t="n">
        <v>1100950373</v>
      </c>
      <c r="B261" t="inlineStr"/>
      <c r="C261" t="inlineStr"/>
      <c r="D261" t="n">
        <v>73500</v>
      </c>
      <c r="E261" t="n">
        <v>90</v>
      </c>
    </row>
    <row r="262">
      <c r="A262" t="n">
        <v>1098683077</v>
      </c>
      <c r="B262" t="inlineStr"/>
      <c r="C262" t="inlineStr"/>
      <c r="D262" t="n">
        <v>73500</v>
      </c>
      <c r="E262" t="n">
        <v>90</v>
      </c>
    </row>
    <row r="263">
      <c r="A263" t="n">
        <v>1014251428</v>
      </c>
      <c r="B263" t="inlineStr"/>
      <c r="C263" t="inlineStr"/>
      <c r="D263" t="n">
        <v>73500</v>
      </c>
      <c r="E263" t="n">
        <v>90</v>
      </c>
    </row>
    <row r="264">
      <c r="A264" t="n">
        <v>1053788938</v>
      </c>
      <c r="B264" t="inlineStr"/>
      <c r="C264" t="inlineStr"/>
      <c r="D264" t="n">
        <v>73500</v>
      </c>
      <c r="E264" t="inlineStr"/>
    </row>
    <row r="265">
      <c r="A265" t="n">
        <v>800049104</v>
      </c>
      <c r="B265" t="inlineStr"/>
      <c r="C265" t="inlineStr"/>
      <c r="D265" t="n">
        <v>72630</v>
      </c>
      <c r="E265" t="inlineStr"/>
    </row>
    <row r="266">
      <c r="A266" t="n">
        <v>800049104</v>
      </c>
      <c r="B266" t="inlineStr"/>
      <c r="C266" t="inlineStr"/>
      <c r="D266" t="n">
        <v>72630</v>
      </c>
      <c r="E266" t="inlineStr"/>
    </row>
    <row r="267">
      <c r="A267" t="n">
        <v>800049104</v>
      </c>
      <c r="B267" t="inlineStr"/>
      <c r="C267" t="inlineStr"/>
      <c r="D267" t="n">
        <v>72630</v>
      </c>
      <c r="E267" t="inlineStr"/>
    </row>
    <row r="268">
      <c r="A268" t="n">
        <v>830122566</v>
      </c>
      <c r="B268" t="inlineStr"/>
      <c r="C268" t="inlineStr"/>
      <c r="D268" t="n">
        <v>72225</v>
      </c>
      <c r="E268" t="inlineStr"/>
    </row>
    <row r="269">
      <c r="A269" t="n">
        <v>901291818</v>
      </c>
      <c r="B269" t="inlineStr"/>
      <c r="C269" t="inlineStr"/>
      <c r="D269" t="n">
        <v>71849</v>
      </c>
      <c r="E269" t="inlineStr"/>
    </row>
    <row r="270">
      <c r="A270" t="n">
        <v>900604499</v>
      </c>
      <c r="B270" t="inlineStr"/>
      <c r="C270" t="inlineStr"/>
      <c r="D270" t="n">
        <v>70689</v>
      </c>
      <c r="E270" t="inlineStr"/>
    </row>
    <row r="271">
      <c r="A271" t="n">
        <v>900604499</v>
      </c>
      <c r="B271" t="inlineStr"/>
      <c r="C271" t="inlineStr"/>
      <c r="D271" t="n">
        <v>70689</v>
      </c>
      <c r="E271" t="inlineStr"/>
    </row>
    <row r="272">
      <c r="A272" t="n">
        <v>800153993</v>
      </c>
      <c r="B272" t="inlineStr"/>
      <c r="C272" t="inlineStr"/>
      <c r="D272" t="n">
        <v>69184</v>
      </c>
      <c r="E272" t="inlineStr"/>
    </row>
    <row r="273">
      <c r="A273" t="n">
        <v>830122566</v>
      </c>
      <c r="B273" t="inlineStr"/>
      <c r="C273" t="inlineStr"/>
      <c r="D273" t="n">
        <v>68302</v>
      </c>
      <c r="E273" t="inlineStr"/>
    </row>
    <row r="274">
      <c r="A274" t="n">
        <v>830122566</v>
      </c>
      <c r="B274" t="inlineStr"/>
      <c r="C274" t="inlineStr"/>
      <c r="D274" t="n">
        <v>68302</v>
      </c>
      <c r="E274" t="inlineStr"/>
    </row>
    <row r="275">
      <c r="A275" t="n">
        <v>79490148</v>
      </c>
      <c r="B275" t="inlineStr"/>
      <c r="C275" t="inlineStr"/>
      <c r="D275" t="n">
        <v>68302</v>
      </c>
      <c r="E275" t="n">
        <v>90</v>
      </c>
    </row>
    <row r="276">
      <c r="A276" t="n">
        <v>79613401</v>
      </c>
      <c r="B276" t="inlineStr"/>
      <c r="C276" t="inlineStr"/>
      <c r="D276" t="n">
        <v>68302</v>
      </c>
      <c r="E276" t="n">
        <v>90</v>
      </c>
    </row>
    <row r="277">
      <c r="A277" t="n">
        <v>830122566</v>
      </c>
      <c r="B277" t="inlineStr"/>
      <c r="C277" t="inlineStr"/>
      <c r="D277" t="n">
        <v>68302</v>
      </c>
      <c r="E277" t="inlineStr"/>
    </row>
    <row r="278">
      <c r="A278" t="n">
        <v>79613401</v>
      </c>
      <c r="B278" t="inlineStr"/>
      <c r="C278" t="inlineStr"/>
      <c r="D278" t="n">
        <v>68302</v>
      </c>
      <c r="E278" t="n">
        <v>90</v>
      </c>
    </row>
    <row r="279">
      <c r="A279" t="n">
        <v>444444054</v>
      </c>
      <c r="B279" t="inlineStr"/>
      <c r="C279" t="inlineStr"/>
      <c r="D279" t="n">
        <v>67590.5</v>
      </c>
      <c r="E279" t="inlineStr"/>
    </row>
    <row r="280">
      <c r="A280" t="n">
        <v>900442265</v>
      </c>
      <c r="B280" t="inlineStr"/>
      <c r="C280" t="inlineStr"/>
      <c r="D280" t="n">
        <v>66919</v>
      </c>
      <c r="E280" t="inlineStr"/>
    </row>
    <row r="281">
      <c r="A281" t="n">
        <v>900019547</v>
      </c>
      <c r="B281" t="inlineStr"/>
      <c r="C281" t="inlineStr"/>
      <c r="D281" t="n">
        <v>66147</v>
      </c>
      <c r="E281" t="inlineStr"/>
    </row>
    <row r="282">
      <c r="A282" t="n">
        <v>800153993</v>
      </c>
      <c r="B282" t="inlineStr"/>
      <c r="C282" t="inlineStr"/>
      <c r="D282" t="n">
        <v>65105</v>
      </c>
      <c r="E282" t="inlineStr"/>
    </row>
    <row r="283">
      <c r="A283" t="n">
        <v>900711248</v>
      </c>
      <c r="B283" t="inlineStr"/>
      <c r="C283" t="inlineStr"/>
      <c r="D283" t="n">
        <v>63371</v>
      </c>
      <c r="E283" t="inlineStr"/>
    </row>
    <row r="284">
      <c r="A284" t="n">
        <v>800185306</v>
      </c>
      <c r="B284" t="inlineStr"/>
      <c r="C284" t="inlineStr"/>
      <c r="D284" t="n">
        <v>63300</v>
      </c>
      <c r="E284" t="inlineStr"/>
    </row>
    <row r="285">
      <c r="A285" t="n">
        <v>800185306</v>
      </c>
      <c r="B285" t="inlineStr"/>
      <c r="C285" t="inlineStr"/>
      <c r="D285" t="n">
        <v>63300</v>
      </c>
      <c r="E285" t="inlineStr"/>
    </row>
    <row r="286">
      <c r="A286" t="n">
        <v>900276962</v>
      </c>
      <c r="B286" t="inlineStr"/>
      <c r="C286" t="inlineStr"/>
      <c r="D286" t="n">
        <v>63100</v>
      </c>
      <c r="E286" t="inlineStr"/>
    </row>
    <row r="287">
      <c r="A287" t="n">
        <v>900019547</v>
      </c>
      <c r="B287" t="inlineStr"/>
      <c r="C287" t="inlineStr"/>
      <c r="D287" t="n">
        <v>61247</v>
      </c>
      <c r="E287" t="inlineStr"/>
    </row>
    <row r="288">
      <c r="A288" t="n">
        <v>53006521</v>
      </c>
      <c r="B288" t="inlineStr"/>
      <c r="C288" t="inlineStr"/>
      <c r="D288" t="n">
        <v>60000</v>
      </c>
      <c r="E288" t="inlineStr"/>
    </row>
    <row r="289">
      <c r="A289" t="n">
        <v>53006521</v>
      </c>
      <c r="B289" t="inlineStr"/>
      <c r="C289" t="inlineStr"/>
      <c r="D289" t="n">
        <v>60000</v>
      </c>
      <c r="E289" t="inlineStr"/>
    </row>
    <row r="290">
      <c r="A290" t="n">
        <v>900019547</v>
      </c>
      <c r="B290" t="inlineStr"/>
      <c r="C290" t="inlineStr"/>
      <c r="D290" t="n">
        <v>58797</v>
      </c>
      <c r="E290" t="inlineStr"/>
    </row>
    <row r="291">
      <c r="A291" t="n">
        <v>900019547</v>
      </c>
      <c r="B291" t="inlineStr"/>
      <c r="C291" t="inlineStr"/>
      <c r="D291" t="n">
        <v>58797</v>
      </c>
      <c r="E291" t="inlineStr"/>
    </row>
    <row r="292">
      <c r="A292" t="n">
        <v>900156839</v>
      </c>
      <c r="B292" t="inlineStr"/>
      <c r="C292" t="inlineStr"/>
      <c r="D292" t="n">
        <v>56840</v>
      </c>
      <c r="E292" t="inlineStr"/>
    </row>
    <row r="293">
      <c r="A293" t="n">
        <v>900156839</v>
      </c>
      <c r="B293" t="inlineStr"/>
      <c r="C293" t="inlineStr"/>
      <c r="D293" t="n">
        <v>56840</v>
      </c>
      <c r="E293" t="inlineStr"/>
    </row>
    <row r="294">
      <c r="A294" t="inlineStr">
        <is>
          <t>800185306</t>
        </is>
      </c>
      <c r="B294" t="inlineStr"/>
      <c r="C294" t="inlineStr">
        <is>
          <t>16008225351</t>
        </is>
      </c>
      <c r="D294" t="n">
        <v>53675</v>
      </c>
      <c r="E294" t="inlineStr">
        <is>
          <t>COLVANES S.A.S</t>
        </is>
      </c>
    </row>
    <row r="295">
      <c r="A295" t="inlineStr">
        <is>
          <t>800185306</t>
        </is>
      </c>
      <c r="B295" t="inlineStr"/>
      <c r="C295" t="inlineStr">
        <is>
          <t>16008225356</t>
        </is>
      </c>
      <c r="D295" t="n">
        <v>53675</v>
      </c>
      <c r="E295" t="inlineStr">
        <is>
          <t>COLVANES S.A.S</t>
        </is>
      </c>
    </row>
    <row r="296">
      <c r="A296" t="n">
        <v>900100828</v>
      </c>
      <c r="B296" t="inlineStr"/>
      <c r="C296" t="inlineStr"/>
      <c r="D296" t="n">
        <v>50300</v>
      </c>
      <c r="E296" t="inlineStr"/>
    </row>
    <row r="297">
      <c r="A297" t="n">
        <v>900459737</v>
      </c>
      <c r="B297" t="inlineStr"/>
      <c r="C297" t="inlineStr"/>
      <c r="D297" t="n">
        <v>50000</v>
      </c>
      <c r="E297" t="inlineStr"/>
    </row>
    <row r="298">
      <c r="A298" t="n">
        <v>900459737</v>
      </c>
      <c r="B298" t="inlineStr"/>
      <c r="C298" t="inlineStr"/>
      <c r="D298" t="n">
        <v>50000</v>
      </c>
      <c r="E298" t="inlineStr"/>
    </row>
    <row r="299">
      <c r="A299" t="n">
        <v>900459737</v>
      </c>
      <c r="B299" t="inlineStr"/>
      <c r="C299" t="inlineStr"/>
      <c r="D299" t="n">
        <v>50000</v>
      </c>
      <c r="E299" t="inlineStr"/>
    </row>
    <row r="300">
      <c r="A300" t="n">
        <v>900092385</v>
      </c>
      <c r="B300" t="inlineStr"/>
      <c r="C300" t="inlineStr"/>
      <c r="D300" t="n">
        <v>49578</v>
      </c>
      <c r="E300" t="inlineStr"/>
    </row>
    <row r="301">
      <c r="A301" t="n">
        <v>79580921</v>
      </c>
      <c r="B301" t="inlineStr"/>
      <c r="C301" t="inlineStr"/>
      <c r="D301" t="n">
        <v>47500</v>
      </c>
      <c r="E301" t="inlineStr"/>
    </row>
    <row r="302">
      <c r="A302" t="n">
        <v>900092385</v>
      </c>
      <c r="B302" t="inlineStr"/>
      <c r="C302" t="inlineStr"/>
      <c r="D302" t="n">
        <v>45906</v>
      </c>
      <c r="E302" t="inlineStr"/>
    </row>
    <row r="303">
      <c r="A303" t="n">
        <v>890107487</v>
      </c>
      <c r="B303" t="inlineStr"/>
      <c r="C303" t="inlineStr"/>
      <c r="D303" t="n">
        <v>45270</v>
      </c>
      <c r="E303" t="inlineStr"/>
    </row>
    <row r="304">
      <c r="A304" t="n">
        <v>900019547</v>
      </c>
      <c r="B304" t="inlineStr"/>
      <c r="C304" t="inlineStr"/>
      <c r="D304" t="n">
        <v>45182</v>
      </c>
      <c r="E304" t="inlineStr"/>
    </row>
    <row r="305">
      <c r="A305" t="n">
        <v>900019547</v>
      </c>
      <c r="B305" t="inlineStr"/>
      <c r="C305" t="inlineStr"/>
      <c r="D305" t="n">
        <v>45182</v>
      </c>
      <c r="E305" t="inlineStr"/>
    </row>
    <row r="306">
      <c r="A306" t="n">
        <v>900100828</v>
      </c>
      <c r="B306" t="inlineStr"/>
      <c r="C306" t="inlineStr"/>
      <c r="D306" t="n">
        <v>45051</v>
      </c>
      <c r="E306" t="inlineStr"/>
    </row>
    <row r="307">
      <c r="A307" t="n">
        <v>900092385</v>
      </c>
      <c r="B307" t="inlineStr"/>
      <c r="C307" t="inlineStr"/>
      <c r="D307" t="n">
        <v>44069</v>
      </c>
      <c r="E307" t="inlineStr"/>
    </row>
    <row r="308">
      <c r="A308" t="n">
        <v>900092385</v>
      </c>
      <c r="B308" t="inlineStr"/>
      <c r="C308" t="inlineStr"/>
      <c r="D308" t="n">
        <v>44069</v>
      </c>
      <c r="E308" t="inlineStr"/>
    </row>
    <row r="309">
      <c r="A309" t="n">
        <v>900468202</v>
      </c>
      <c r="B309" t="inlineStr"/>
      <c r="C309" t="inlineStr"/>
      <c r="D309" t="n">
        <v>43844</v>
      </c>
      <c r="E309" t="inlineStr"/>
    </row>
    <row r="310">
      <c r="A310" t="n">
        <v>800251569</v>
      </c>
      <c r="B310" t="inlineStr"/>
      <c r="C310" t="inlineStr"/>
      <c r="D310" t="n">
        <v>43700</v>
      </c>
      <c r="E310" t="inlineStr"/>
    </row>
    <row r="311">
      <c r="A311" t="n">
        <v>800251569</v>
      </c>
      <c r="B311" t="inlineStr"/>
      <c r="C311" t="inlineStr"/>
      <c r="D311" t="n">
        <v>43700</v>
      </c>
      <c r="E311" t="inlineStr"/>
    </row>
    <row r="312">
      <c r="A312" t="n">
        <v>900299367</v>
      </c>
      <c r="B312" t="inlineStr"/>
      <c r="C312" t="inlineStr"/>
      <c r="D312" t="n">
        <v>41864</v>
      </c>
      <c r="E312" t="inlineStr"/>
    </row>
    <row r="313">
      <c r="A313" t="n">
        <v>901086450</v>
      </c>
      <c r="B313" t="inlineStr"/>
      <c r="C313" t="inlineStr"/>
      <c r="D313" t="n">
        <v>41650</v>
      </c>
      <c r="E313" t="inlineStr"/>
    </row>
    <row r="314">
      <c r="A314" t="n">
        <v>860508791</v>
      </c>
      <c r="B314" t="inlineStr"/>
      <c r="C314" t="inlineStr"/>
      <c r="D314" t="n">
        <v>40500</v>
      </c>
      <c r="E314" t="inlineStr"/>
    </row>
    <row r="315">
      <c r="A315" t="n">
        <v>901385344</v>
      </c>
      <c r="B315" t="inlineStr"/>
      <c r="C315" t="inlineStr"/>
      <c r="D315" t="n">
        <v>39900</v>
      </c>
      <c r="E315" t="inlineStr"/>
    </row>
    <row r="316">
      <c r="A316" t="n">
        <v>830033970</v>
      </c>
      <c r="B316" t="inlineStr"/>
      <c r="C316" t="inlineStr"/>
      <c r="D316" t="n">
        <v>39157</v>
      </c>
      <c r="E316" t="inlineStr"/>
    </row>
    <row r="317">
      <c r="A317" t="n">
        <v>19413366</v>
      </c>
      <c r="B317" t="inlineStr"/>
      <c r="C317" t="inlineStr"/>
      <c r="D317" t="n">
        <v>38920</v>
      </c>
      <c r="E317" t="inlineStr"/>
    </row>
    <row r="318">
      <c r="A318" t="n">
        <v>23466844</v>
      </c>
      <c r="B318" t="inlineStr"/>
      <c r="C318" t="inlineStr"/>
      <c r="D318" t="n">
        <v>38319</v>
      </c>
      <c r="E318" t="inlineStr"/>
    </row>
    <row r="319">
      <c r="A319" t="n">
        <v>800185306</v>
      </c>
      <c r="B319" t="inlineStr"/>
      <c r="C319" t="inlineStr"/>
      <c r="D319" t="n">
        <v>38212</v>
      </c>
      <c r="E319" t="inlineStr"/>
    </row>
    <row r="320">
      <c r="A320" t="n">
        <v>901290935</v>
      </c>
      <c r="B320" t="inlineStr"/>
      <c r="C320" t="inlineStr"/>
      <c r="D320" t="n">
        <v>37120</v>
      </c>
      <c r="E320" t="inlineStr"/>
    </row>
    <row r="321">
      <c r="A321" t="n">
        <v>901290935</v>
      </c>
      <c r="B321" t="inlineStr"/>
      <c r="C321" t="inlineStr"/>
      <c r="D321" t="n">
        <v>37119</v>
      </c>
      <c r="E321" t="inlineStr"/>
    </row>
    <row r="322">
      <c r="A322" t="n">
        <v>800185306</v>
      </c>
      <c r="B322" t="inlineStr"/>
      <c r="C322" t="inlineStr"/>
      <c r="D322" t="n">
        <v>36430</v>
      </c>
      <c r="E322" t="inlineStr"/>
    </row>
    <row r="323">
      <c r="A323" t="n">
        <v>1075239408</v>
      </c>
      <c r="B323" t="inlineStr"/>
      <c r="C323" t="inlineStr"/>
      <c r="D323" t="n">
        <v>36430</v>
      </c>
      <c r="E323" t="n">
        <v>90</v>
      </c>
    </row>
    <row r="324">
      <c r="A324" t="n">
        <v>890301163</v>
      </c>
      <c r="B324" t="inlineStr"/>
      <c r="C324" t="inlineStr"/>
      <c r="D324" t="n">
        <v>35820</v>
      </c>
      <c r="E324" t="inlineStr"/>
    </row>
    <row r="325">
      <c r="A325" t="n">
        <v>5463640</v>
      </c>
      <c r="B325" t="inlineStr"/>
      <c r="C325" t="inlineStr"/>
      <c r="D325" t="n">
        <v>35715</v>
      </c>
      <c r="E325" t="inlineStr"/>
    </row>
    <row r="326">
      <c r="A326" t="n">
        <v>5463640</v>
      </c>
      <c r="B326" t="inlineStr"/>
      <c r="C326" t="inlineStr"/>
      <c r="D326" t="n">
        <v>35715</v>
      </c>
      <c r="E326" t="inlineStr"/>
    </row>
    <row r="327">
      <c r="A327" t="n">
        <v>5463640</v>
      </c>
      <c r="B327" t="inlineStr"/>
      <c r="C327" t="inlineStr"/>
      <c r="D327" t="n">
        <v>35714</v>
      </c>
      <c r="E327" t="inlineStr"/>
    </row>
    <row r="328">
      <c r="A328" t="n">
        <v>5463640</v>
      </c>
      <c r="B328" t="inlineStr"/>
      <c r="C328" t="inlineStr"/>
      <c r="D328" t="n">
        <v>35714</v>
      </c>
      <c r="E328" t="inlineStr"/>
    </row>
    <row r="329">
      <c r="A329" t="n">
        <v>900100828</v>
      </c>
      <c r="B329" t="inlineStr"/>
      <c r="C329" t="inlineStr"/>
      <c r="D329" t="n">
        <v>35700</v>
      </c>
      <c r="E329" t="inlineStr"/>
    </row>
    <row r="330">
      <c r="A330" t="n">
        <v>901018976</v>
      </c>
      <c r="B330" t="inlineStr"/>
      <c r="C330" t="inlineStr"/>
      <c r="D330" t="n">
        <v>35700</v>
      </c>
      <c r="E330" t="inlineStr"/>
    </row>
    <row r="331">
      <c r="A331" t="n">
        <v>1022344726</v>
      </c>
      <c r="B331" t="inlineStr"/>
      <c r="C331" t="inlineStr"/>
      <c r="D331" t="n">
        <v>34992</v>
      </c>
      <c r="E331" t="inlineStr"/>
    </row>
    <row r="332">
      <c r="A332" t="n">
        <v>900092385</v>
      </c>
      <c r="B332" t="inlineStr"/>
      <c r="C332" t="inlineStr"/>
      <c r="D332" t="n">
        <v>34888</v>
      </c>
      <c r="E332" t="inlineStr"/>
    </row>
    <row r="333">
      <c r="A333" t="n">
        <v>860508791</v>
      </c>
      <c r="B333" t="inlineStr"/>
      <c r="C333" t="inlineStr"/>
      <c r="D333" t="n">
        <v>34034</v>
      </c>
      <c r="E333" t="inlineStr"/>
    </row>
    <row r="334">
      <c r="A334" t="n">
        <v>37921571</v>
      </c>
      <c r="B334" t="inlineStr"/>
      <c r="C334" t="inlineStr"/>
      <c r="D334" t="n">
        <v>33000</v>
      </c>
      <c r="E334" t="inlineStr"/>
    </row>
    <row r="335">
      <c r="A335" t="n">
        <v>1014250702</v>
      </c>
      <c r="B335" t="inlineStr"/>
      <c r="C335" t="inlineStr"/>
      <c r="D335" t="n">
        <v>30337</v>
      </c>
      <c r="E335" t="inlineStr"/>
    </row>
    <row r="336">
      <c r="A336" t="n">
        <v>890301163</v>
      </c>
      <c r="B336" t="inlineStr"/>
      <c r="C336" t="inlineStr"/>
      <c r="D336" t="n">
        <v>30101</v>
      </c>
      <c r="E336" t="inlineStr"/>
    </row>
    <row r="337">
      <c r="A337" t="n">
        <v>800219876</v>
      </c>
      <c r="B337" t="inlineStr"/>
      <c r="C337" t="inlineStr"/>
      <c r="D337" t="n">
        <v>30000</v>
      </c>
      <c r="E337" t="inlineStr"/>
    </row>
    <row r="338">
      <c r="A338" t="n">
        <v>800219876</v>
      </c>
      <c r="B338" t="inlineStr"/>
      <c r="C338" t="inlineStr"/>
      <c r="D338" t="n">
        <v>30000</v>
      </c>
      <c r="E338" t="inlineStr"/>
    </row>
    <row r="339">
      <c r="A339" t="n">
        <v>900100828</v>
      </c>
      <c r="B339" t="inlineStr"/>
      <c r="C339" t="inlineStr"/>
      <c r="D339" t="n">
        <v>30000</v>
      </c>
      <c r="E339" t="inlineStr"/>
    </row>
    <row r="340">
      <c r="A340" t="n">
        <v>890107487</v>
      </c>
      <c r="B340" t="inlineStr"/>
      <c r="C340" t="inlineStr"/>
      <c r="D340" t="n">
        <v>29798</v>
      </c>
      <c r="E340" t="inlineStr"/>
    </row>
    <row r="341">
      <c r="A341" t="n">
        <v>891408584</v>
      </c>
      <c r="B341" t="inlineStr"/>
      <c r="C341" t="inlineStr"/>
      <c r="D341" t="n">
        <v>29600</v>
      </c>
      <c r="E341" t="inlineStr"/>
    </row>
    <row r="342">
      <c r="A342" t="n">
        <v>800049104</v>
      </c>
      <c r="B342" t="inlineStr"/>
      <c r="C342" t="inlineStr"/>
      <c r="D342" t="n">
        <v>27912</v>
      </c>
      <c r="E342" t="inlineStr"/>
    </row>
    <row r="343">
      <c r="A343" t="n">
        <v>891408584</v>
      </c>
      <c r="B343" t="inlineStr"/>
      <c r="C343" t="inlineStr"/>
      <c r="D343" t="n">
        <v>27407</v>
      </c>
      <c r="E343" t="inlineStr"/>
    </row>
    <row r="344">
      <c r="A344" t="n">
        <v>900491889</v>
      </c>
      <c r="B344" t="inlineStr"/>
      <c r="C344" t="inlineStr"/>
      <c r="D344" t="n">
        <v>27400</v>
      </c>
      <c r="E344" t="inlineStr"/>
    </row>
    <row r="345">
      <c r="A345" t="n">
        <v>79781231</v>
      </c>
      <c r="B345" t="inlineStr"/>
      <c r="C345" t="inlineStr"/>
      <c r="D345" t="n">
        <v>27000</v>
      </c>
      <c r="E345" t="inlineStr"/>
    </row>
    <row r="346">
      <c r="A346" t="n">
        <v>79781231</v>
      </c>
      <c r="B346" t="inlineStr"/>
      <c r="C346" t="inlineStr"/>
      <c r="D346" t="n">
        <v>27000</v>
      </c>
      <c r="E346" t="inlineStr"/>
    </row>
    <row r="347">
      <c r="A347" t="n">
        <v>800219876</v>
      </c>
      <c r="B347" t="inlineStr"/>
      <c r="C347" t="inlineStr"/>
      <c r="D347" t="n">
        <v>26334</v>
      </c>
      <c r="E347" t="inlineStr"/>
    </row>
    <row r="348">
      <c r="A348" t="n">
        <v>900236520</v>
      </c>
      <c r="B348" t="inlineStr"/>
      <c r="C348" t="inlineStr"/>
      <c r="D348" t="n">
        <v>25900</v>
      </c>
      <c r="E348" t="inlineStr"/>
    </row>
    <row r="349">
      <c r="A349" t="n">
        <v>900994200</v>
      </c>
      <c r="B349" t="inlineStr"/>
      <c r="C349" t="inlineStr"/>
      <c r="D349" t="n">
        <v>24655</v>
      </c>
      <c r="E349" t="inlineStr"/>
    </row>
    <row r="350">
      <c r="A350" t="n">
        <v>800185306</v>
      </c>
      <c r="B350" t="inlineStr"/>
      <c r="C350" t="inlineStr"/>
      <c r="D350" t="n">
        <v>22900</v>
      </c>
      <c r="E350" t="inlineStr"/>
    </row>
    <row r="351">
      <c r="A351" t="n">
        <v>800185306</v>
      </c>
      <c r="B351" t="inlineStr"/>
      <c r="C351" t="inlineStr"/>
      <c r="D351" t="n">
        <v>22900</v>
      </c>
      <c r="E351" t="inlineStr"/>
    </row>
    <row r="352">
      <c r="A352" t="n">
        <v>800185306</v>
      </c>
      <c r="B352" t="inlineStr"/>
      <c r="C352" t="inlineStr"/>
      <c r="D352" t="n">
        <v>22900</v>
      </c>
      <c r="E352" t="inlineStr"/>
    </row>
    <row r="353">
      <c r="A353" t="n">
        <v>800185306</v>
      </c>
      <c r="B353" t="inlineStr"/>
      <c r="C353" t="inlineStr"/>
      <c r="D353" t="n">
        <v>22900</v>
      </c>
      <c r="E353" t="inlineStr"/>
    </row>
    <row r="354">
      <c r="A354" t="n">
        <v>900087704</v>
      </c>
      <c r="B354" t="inlineStr"/>
      <c r="C354" t="inlineStr"/>
      <c r="D354" t="n">
        <v>21420</v>
      </c>
      <c r="E354" t="inlineStr"/>
    </row>
    <row r="355">
      <c r="A355" t="n">
        <v>900480569</v>
      </c>
      <c r="B355" t="inlineStr"/>
      <c r="C355" t="inlineStr"/>
      <c r="D355" t="n">
        <v>21300</v>
      </c>
      <c r="E355" t="inlineStr"/>
    </row>
    <row r="356">
      <c r="A356" t="n">
        <v>860512330</v>
      </c>
      <c r="B356" t="inlineStr"/>
      <c r="C356" t="inlineStr"/>
      <c r="D356" t="n">
        <v>20550</v>
      </c>
      <c r="E356" t="inlineStr"/>
    </row>
    <row r="357">
      <c r="A357" t="n">
        <v>900491889</v>
      </c>
      <c r="B357" t="inlineStr"/>
      <c r="C357" t="inlineStr"/>
      <c r="D357" t="n">
        <v>19899</v>
      </c>
      <c r="E357" t="inlineStr"/>
    </row>
    <row r="358">
      <c r="A358" t="n">
        <v>830112317</v>
      </c>
      <c r="B358" t="inlineStr"/>
      <c r="C358" t="inlineStr"/>
      <c r="D358" t="n">
        <v>19800</v>
      </c>
      <c r="E358" t="inlineStr"/>
    </row>
    <row r="359">
      <c r="A359" t="n">
        <v>901344189</v>
      </c>
      <c r="B359" t="inlineStr"/>
      <c r="C359" t="inlineStr"/>
      <c r="D359" t="n">
        <v>18676</v>
      </c>
      <c r="E359" t="inlineStr"/>
    </row>
    <row r="360">
      <c r="A360" t="n">
        <v>901945617</v>
      </c>
      <c r="B360" t="inlineStr"/>
      <c r="C360" t="inlineStr"/>
      <c r="D360" t="n">
        <v>18000</v>
      </c>
      <c r="E360" t="inlineStr"/>
    </row>
    <row r="361">
      <c r="A361" t="n">
        <v>900087704</v>
      </c>
      <c r="B361" t="inlineStr"/>
      <c r="C361" t="inlineStr"/>
      <c r="D361" t="n">
        <v>18000</v>
      </c>
      <c r="E361" t="inlineStr"/>
    </row>
    <row r="362">
      <c r="A362" t="n">
        <v>800185306</v>
      </c>
      <c r="B362" t="inlineStr"/>
      <c r="C362" t="inlineStr"/>
      <c r="D362" t="n">
        <v>17900</v>
      </c>
      <c r="E362" t="inlineStr"/>
    </row>
    <row r="363">
      <c r="A363" t="n">
        <v>800185306</v>
      </c>
      <c r="B363" t="inlineStr"/>
      <c r="C363" t="inlineStr"/>
      <c r="D363" t="n">
        <v>17900</v>
      </c>
      <c r="E363" t="inlineStr"/>
    </row>
    <row r="364">
      <c r="A364" t="n">
        <v>800007813</v>
      </c>
      <c r="B364" t="inlineStr"/>
      <c r="C364" t="inlineStr"/>
      <c r="D364" t="n">
        <v>17610</v>
      </c>
      <c r="E364" t="inlineStr"/>
    </row>
    <row r="365">
      <c r="A365" t="n">
        <v>800007813</v>
      </c>
      <c r="B365" t="inlineStr"/>
      <c r="C365" t="inlineStr"/>
      <c r="D365" t="n">
        <v>17610</v>
      </c>
      <c r="E365" t="inlineStr"/>
    </row>
    <row r="366">
      <c r="A366" t="n">
        <v>901469580</v>
      </c>
      <c r="B366" t="inlineStr"/>
      <c r="C366" t="inlineStr"/>
      <c r="D366" t="n">
        <v>16986</v>
      </c>
      <c r="E366" t="inlineStr"/>
    </row>
    <row r="367">
      <c r="A367" t="n">
        <v>901469580</v>
      </c>
      <c r="B367" t="inlineStr"/>
      <c r="C367" t="inlineStr"/>
      <c r="D367" t="n">
        <v>16986</v>
      </c>
      <c r="E367" t="inlineStr"/>
    </row>
    <row r="368">
      <c r="A368" t="n">
        <v>901469580</v>
      </c>
      <c r="B368" t="inlineStr"/>
      <c r="C368" t="inlineStr"/>
      <c r="D368" t="n">
        <v>16986</v>
      </c>
      <c r="E368" t="inlineStr"/>
    </row>
    <row r="369">
      <c r="A369" t="n">
        <v>901469580</v>
      </c>
      <c r="B369" t="inlineStr"/>
      <c r="C369" t="inlineStr"/>
      <c r="D369" t="n">
        <v>16986</v>
      </c>
      <c r="E369" t="inlineStr"/>
    </row>
    <row r="370">
      <c r="A370" t="n">
        <v>901469580</v>
      </c>
      <c r="B370" t="inlineStr"/>
      <c r="C370" t="inlineStr"/>
      <c r="D370" t="n">
        <v>16986</v>
      </c>
      <c r="E370" t="inlineStr"/>
    </row>
    <row r="371">
      <c r="A371" t="n">
        <v>901469580</v>
      </c>
      <c r="B371" t="inlineStr"/>
      <c r="C371" t="inlineStr"/>
      <c r="D371" t="n">
        <v>16986</v>
      </c>
      <c r="E371" t="inlineStr"/>
    </row>
    <row r="372">
      <c r="A372" t="n">
        <v>901469580</v>
      </c>
      <c r="B372" t="inlineStr"/>
      <c r="C372" t="inlineStr"/>
      <c r="D372" t="n">
        <v>16986</v>
      </c>
      <c r="E372" t="inlineStr"/>
    </row>
    <row r="373">
      <c r="A373" t="n">
        <v>901469580</v>
      </c>
      <c r="B373" t="inlineStr"/>
      <c r="C373" t="inlineStr"/>
      <c r="D373" t="n">
        <v>16986</v>
      </c>
      <c r="E373" t="inlineStr"/>
    </row>
    <row r="374">
      <c r="A374" t="n">
        <v>901469580</v>
      </c>
      <c r="B374" t="inlineStr"/>
      <c r="C374" t="inlineStr"/>
      <c r="D374" t="n">
        <v>16986</v>
      </c>
      <c r="E374" t="inlineStr"/>
    </row>
    <row r="375">
      <c r="A375" t="n">
        <v>901469580</v>
      </c>
      <c r="B375" t="inlineStr"/>
      <c r="C375" t="inlineStr"/>
      <c r="D375" t="n">
        <v>16986</v>
      </c>
      <c r="E375" t="inlineStr"/>
    </row>
    <row r="376">
      <c r="A376" t="n">
        <v>901469580</v>
      </c>
      <c r="B376" t="inlineStr"/>
      <c r="C376" t="inlineStr"/>
      <c r="D376" t="n">
        <v>16986</v>
      </c>
      <c r="E376" t="inlineStr"/>
    </row>
    <row r="377">
      <c r="A377" t="n">
        <v>901469580</v>
      </c>
      <c r="B377" t="inlineStr"/>
      <c r="C377" t="inlineStr"/>
      <c r="D377" t="n">
        <v>16986</v>
      </c>
      <c r="E377" t="inlineStr"/>
    </row>
    <row r="378">
      <c r="A378" t="n">
        <v>901469580</v>
      </c>
      <c r="B378" t="inlineStr"/>
      <c r="C378" t="inlineStr"/>
      <c r="D378" t="n">
        <v>16986</v>
      </c>
      <c r="E378" t="inlineStr"/>
    </row>
    <row r="379">
      <c r="A379" t="n">
        <v>901469580</v>
      </c>
      <c r="B379" t="inlineStr"/>
      <c r="C379" t="inlineStr"/>
      <c r="D379" t="n">
        <v>16986</v>
      </c>
      <c r="E379" t="inlineStr"/>
    </row>
    <row r="380">
      <c r="A380" t="n">
        <v>901469580</v>
      </c>
      <c r="B380" t="inlineStr"/>
      <c r="C380" t="inlineStr"/>
      <c r="D380" t="n">
        <v>16986</v>
      </c>
      <c r="E380" t="inlineStr"/>
    </row>
    <row r="381">
      <c r="A381" t="n">
        <v>901469580</v>
      </c>
      <c r="B381" t="inlineStr"/>
      <c r="C381" t="inlineStr"/>
      <c r="D381" t="n">
        <v>16986</v>
      </c>
      <c r="E381" t="inlineStr"/>
    </row>
    <row r="382">
      <c r="A382" t="n">
        <v>901469580</v>
      </c>
      <c r="B382" t="inlineStr"/>
      <c r="C382" t="inlineStr"/>
      <c r="D382" t="n">
        <v>16986</v>
      </c>
      <c r="E382" t="inlineStr"/>
    </row>
    <row r="383">
      <c r="A383" t="n">
        <v>901469580</v>
      </c>
      <c r="B383" t="inlineStr"/>
      <c r="C383" t="inlineStr"/>
      <c r="D383" t="n">
        <v>16986</v>
      </c>
      <c r="E383" t="inlineStr"/>
    </row>
    <row r="384">
      <c r="A384" t="n">
        <v>901469580</v>
      </c>
      <c r="B384" t="inlineStr"/>
      <c r="C384" t="inlineStr"/>
      <c r="D384" t="n">
        <v>16986</v>
      </c>
      <c r="E384" t="inlineStr"/>
    </row>
    <row r="385">
      <c r="A385" t="n">
        <v>901469580</v>
      </c>
      <c r="B385" t="inlineStr"/>
      <c r="C385" t="inlineStr"/>
      <c r="D385" t="n">
        <v>16986</v>
      </c>
      <c r="E385" t="inlineStr"/>
    </row>
    <row r="386">
      <c r="A386" t="n">
        <v>901469580</v>
      </c>
      <c r="B386" t="inlineStr"/>
      <c r="C386" t="inlineStr"/>
      <c r="D386" t="n">
        <v>16986</v>
      </c>
      <c r="E386" t="inlineStr"/>
    </row>
    <row r="387">
      <c r="A387" t="n">
        <v>900119072</v>
      </c>
      <c r="B387" t="inlineStr"/>
      <c r="C387" t="inlineStr"/>
      <c r="D387" t="n">
        <v>16900</v>
      </c>
      <c r="E387" t="inlineStr"/>
    </row>
    <row r="388">
      <c r="A388" t="n">
        <v>900276962</v>
      </c>
      <c r="B388" t="inlineStr"/>
      <c r="C388" t="inlineStr"/>
      <c r="D388" t="n">
        <v>16850</v>
      </c>
      <c r="E388" t="inlineStr"/>
    </row>
    <row r="389">
      <c r="A389" t="n">
        <v>901291818</v>
      </c>
      <c r="B389" t="inlineStr"/>
      <c r="C389" t="inlineStr"/>
      <c r="D389" t="n">
        <v>16702</v>
      </c>
      <c r="E389" t="inlineStr"/>
    </row>
    <row r="390">
      <c r="A390" t="n">
        <v>901945617</v>
      </c>
      <c r="B390" t="inlineStr"/>
      <c r="C390" t="inlineStr"/>
      <c r="D390" t="n">
        <v>16667</v>
      </c>
      <c r="E390" t="inlineStr"/>
    </row>
    <row r="391">
      <c r="A391" t="n">
        <v>830112317</v>
      </c>
      <c r="B391" t="inlineStr"/>
      <c r="C391" t="inlineStr"/>
      <c r="D391" t="n">
        <v>16639</v>
      </c>
      <c r="E391" t="inlineStr"/>
    </row>
    <row r="392">
      <c r="A392" t="n">
        <v>900465969</v>
      </c>
      <c r="B392" t="inlineStr"/>
      <c r="C392" t="inlineStr"/>
      <c r="D392" t="n">
        <v>16323</v>
      </c>
      <c r="E392" t="inlineStr"/>
    </row>
    <row r="393">
      <c r="A393" t="n">
        <v>23790835</v>
      </c>
      <c r="B393" t="inlineStr"/>
      <c r="C393" t="inlineStr"/>
      <c r="D393" t="n">
        <v>16200</v>
      </c>
      <c r="E393" t="inlineStr"/>
    </row>
    <row r="394">
      <c r="A394" t="n">
        <v>900236520</v>
      </c>
      <c r="B394" t="inlineStr"/>
      <c r="C394" t="inlineStr"/>
      <c r="D394" t="n">
        <v>16000</v>
      </c>
      <c r="E394" t="inlineStr"/>
    </row>
    <row r="395">
      <c r="A395" t="n">
        <v>900119072</v>
      </c>
      <c r="B395" t="inlineStr"/>
      <c r="C395" t="inlineStr"/>
      <c r="D395" t="n">
        <v>16000</v>
      </c>
      <c r="E395" t="inlineStr"/>
    </row>
    <row r="396">
      <c r="A396" t="n">
        <v>20633928</v>
      </c>
      <c r="B396" t="inlineStr"/>
      <c r="C396" t="inlineStr"/>
      <c r="D396" t="n">
        <v>15960</v>
      </c>
      <c r="E396" t="inlineStr"/>
    </row>
    <row r="397">
      <c r="A397" t="n">
        <v>79653374</v>
      </c>
      <c r="B397" t="inlineStr"/>
      <c r="C397" t="inlineStr"/>
      <c r="D397" t="n">
        <v>15801</v>
      </c>
      <c r="E397" t="inlineStr"/>
    </row>
    <row r="398">
      <c r="A398" t="n">
        <v>901952530</v>
      </c>
      <c r="B398" t="inlineStr"/>
      <c r="C398" t="inlineStr"/>
      <c r="D398" t="n">
        <v>15563</v>
      </c>
      <c r="E398" t="inlineStr"/>
    </row>
    <row r="399">
      <c r="A399" t="n">
        <v>8733680</v>
      </c>
      <c r="B399" t="inlineStr"/>
      <c r="C399" t="inlineStr"/>
      <c r="D399" t="n">
        <v>15444</v>
      </c>
      <c r="E399" t="inlineStr"/>
    </row>
    <row r="400">
      <c r="A400" t="n">
        <v>37921571</v>
      </c>
      <c r="B400" t="inlineStr"/>
      <c r="C400" t="inlineStr"/>
      <c r="D400" t="n">
        <v>15278</v>
      </c>
      <c r="E400" t="inlineStr"/>
    </row>
    <row r="401">
      <c r="A401" t="n">
        <v>37921571</v>
      </c>
      <c r="B401" t="inlineStr"/>
      <c r="C401" t="inlineStr"/>
      <c r="D401" t="n">
        <v>15278</v>
      </c>
      <c r="E401" t="inlineStr"/>
    </row>
    <row r="402">
      <c r="A402" t="n">
        <v>20633928</v>
      </c>
      <c r="B402" t="inlineStr"/>
      <c r="C402" t="inlineStr"/>
      <c r="D402" t="n">
        <v>15200</v>
      </c>
      <c r="E402" t="inlineStr"/>
    </row>
    <row r="403">
      <c r="A403" t="n">
        <v>900480569</v>
      </c>
      <c r="B403" t="inlineStr"/>
      <c r="C403" t="inlineStr"/>
      <c r="D403" t="n">
        <v>15050</v>
      </c>
      <c r="E403" t="inlineStr"/>
    </row>
    <row r="404">
      <c r="A404" t="n">
        <v>892100110</v>
      </c>
      <c r="B404" t="inlineStr"/>
      <c r="C404" t="inlineStr"/>
      <c r="D404" t="n">
        <v>15000</v>
      </c>
      <c r="E404" t="inlineStr"/>
    </row>
    <row r="405">
      <c r="A405" t="n">
        <v>800219876</v>
      </c>
      <c r="B405" t="inlineStr"/>
      <c r="C405" t="inlineStr"/>
      <c r="D405" t="n">
        <v>15000</v>
      </c>
      <c r="E405" t="inlineStr"/>
    </row>
    <row r="406">
      <c r="A406" t="n">
        <v>800219876</v>
      </c>
      <c r="B406" t="inlineStr"/>
      <c r="C406" t="inlineStr"/>
      <c r="D406" t="n">
        <v>15000</v>
      </c>
      <c r="E406" t="inlineStr"/>
    </row>
    <row r="407">
      <c r="A407" t="n">
        <v>23790835</v>
      </c>
      <c r="B407" t="inlineStr"/>
      <c r="C407" t="inlineStr"/>
      <c r="D407" t="n">
        <v>15000</v>
      </c>
      <c r="E407" t="inlineStr"/>
    </row>
    <row r="408">
      <c r="A408" t="n">
        <v>901748436</v>
      </c>
      <c r="B408" t="inlineStr"/>
      <c r="C408" t="inlineStr"/>
      <c r="D408" t="n">
        <v>14849</v>
      </c>
      <c r="E408" t="inlineStr"/>
    </row>
    <row r="409">
      <c r="A409" t="n">
        <v>901469580</v>
      </c>
      <c r="B409" t="inlineStr"/>
      <c r="C409" t="inlineStr"/>
      <c r="D409" t="n">
        <v>14795</v>
      </c>
      <c r="E409" t="inlineStr"/>
    </row>
    <row r="410">
      <c r="A410" t="n">
        <v>901469580</v>
      </c>
      <c r="B410" t="inlineStr"/>
      <c r="C410" t="inlineStr"/>
      <c r="D410" t="n">
        <v>14795</v>
      </c>
      <c r="E410" t="inlineStr"/>
    </row>
    <row r="411">
      <c r="A411" t="n">
        <v>901469580</v>
      </c>
      <c r="B411" t="inlineStr"/>
      <c r="C411" t="inlineStr"/>
      <c r="D411" t="n">
        <v>14795</v>
      </c>
      <c r="E411" t="inlineStr"/>
    </row>
    <row r="412">
      <c r="A412" t="n">
        <v>901469580</v>
      </c>
      <c r="B412" t="inlineStr"/>
      <c r="C412" t="inlineStr"/>
      <c r="D412" t="n">
        <v>14795</v>
      </c>
      <c r="E412" t="inlineStr"/>
    </row>
    <row r="413">
      <c r="A413" t="n">
        <v>901469580</v>
      </c>
      <c r="B413" t="inlineStr"/>
      <c r="C413" t="inlineStr"/>
      <c r="D413" t="n">
        <v>14795</v>
      </c>
      <c r="E413" t="inlineStr"/>
    </row>
    <row r="414">
      <c r="A414" t="n">
        <v>901469580</v>
      </c>
      <c r="B414" t="inlineStr"/>
      <c r="C414" t="inlineStr"/>
      <c r="D414" t="n">
        <v>14795</v>
      </c>
      <c r="E414" t="inlineStr"/>
    </row>
    <row r="415">
      <c r="A415" t="n">
        <v>901469580</v>
      </c>
      <c r="B415" t="inlineStr"/>
      <c r="C415" t="inlineStr"/>
      <c r="D415" t="n">
        <v>14795</v>
      </c>
      <c r="E415" t="inlineStr"/>
    </row>
    <row r="416">
      <c r="A416" t="n">
        <v>901469580</v>
      </c>
      <c r="B416" t="inlineStr"/>
      <c r="C416" t="inlineStr"/>
      <c r="D416" t="n">
        <v>14795</v>
      </c>
      <c r="E416" t="inlineStr"/>
    </row>
    <row r="417">
      <c r="A417" t="n">
        <v>901469580</v>
      </c>
      <c r="B417" t="inlineStr"/>
      <c r="C417" t="inlineStr"/>
      <c r="D417" t="n">
        <v>14795</v>
      </c>
      <c r="E417" t="inlineStr"/>
    </row>
    <row r="418">
      <c r="A418" t="n">
        <v>901469580</v>
      </c>
      <c r="B418" t="inlineStr"/>
      <c r="C418" t="inlineStr"/>
      <c r="D418" t="n">
        <v>14795</v>
      </c>
      <c r="E418" t="inlineStr"/>
    </row>
    <row r="419">
      <c r="A419" t="n">
        <v>901469580</v>
      </c>
      <c r="B419" t="inlineStr"/>
      <c r="C419" t="inlineStr"/>
      <c r="D419" t="n">
        <v>14795</v>
      </c>
      <c r="E419" t="inlineStr"/>
    </row>
    <row r="420">
      <c r="A420" t="n">
        <v>901469580</v>
      </c>
      <c r="B420" t="inlineStr"/>
      <c r="C420" t="inlineStr"/>
      <c r="D420" t="n">
        <v>14795</v>
      </c>
      <c r="E420" t="inlineStr"/>
    </row>
    <row r="421">
      <c r="A421" t="n">
        <v>901469580</v>
      </c>
      <c r="B421" t="inlineStr"/>
      <c r="C421" t="inlineStr"/>
      <c r="D421" t="n">
        <v>14795</v>
      </c>
      <c r="E421" t="inlineStr"/>
    </row>
    <row r="422">
      <c r="A422" t="n">
        <v>901469580</v>
      </c>
      <c r="B422" t="inlineStr"/>
      <c r="C422" t="inlineStr"/>
      <c r="D422" t="n">
        <v>14795</v>
      </c>
      <c r="E422" t="inlineStr"/>
    </row>
    <row r="423">
      <c r="A423" t="n">
        <v>901469580</v>
      </c>
      <c r="B423" t="inlineStr"/>
      <c r="C423" t="inlineStr"/>
      <c r="D423" t="n">
        <v>14795</v>
      </c>
      <c r="E423" t="inlineStr"/>
    </row>
    <row r="424">
      <c r="A424" t="n">
        <v>901469580</v>
      </c>
      <c r="B424" t="inlineStr"/>
      <c r="C424" t="inlineStr"/>
      <c r="D424" t="n">
        <v>14795</v>
      </c>
      <c r="E424" t="inlineStr"/>
    </row>
    <row r="425">
      <c r="A425" t="n">
        <v>901469580</v>
      </c>
      <c r="B425" t="inlineStr"/>
      <c r="C425" t="inlineStr"/>
      <c r="D425" t="n">
        <v>14795</v>
      </c>
      <c r="E425" t="inlineStr"/>
    </row>
    <row r="426">
      <c r="A426" t="n">
        <v>901469580</v>
      </c>
      <c r="B426" t="inlineStr"/>
      <c r="C426" t="inlineStr"/>
      <c r="D426" t="n">
        <v>14795</v>
      </c>
      <c r="E426" t="inlineStr"/>
    </row>
    <row r="427">
      <c r="A427" t="n">
        <v>901469580</v>
      </c>
      <c r="B427" t="inlineStr"/>
      <c r="C427" t="inlineStr"/>
      <c r="D427" t="n">
        <v>14795</v>
      </c>
      <c r="E427" t="inlineStr"/>
    </row>
    <row r="428">
      <c r="A428" t="n">
        <v>901469580</v>
      </c>
      <c r="B428" t="inlineStr"/>
      <c r="C428" t="inlineStr"/>
      <c r="D428" t="n">
        <v>14795</v>
      </c>
      <c r="E428" t="inlineStr"/>
    </row>
    <row r="429">
      <c r="A429" t="n">
        <v>800185306</v>
      </c>
      <c r="B429" t="inlineStr"/>
      <c r="C429" t="inlineStr"/>
      <c r="D429" t="n">
        <v>14700</v>
      </c>
      <c r="E429" t="inlineStr"/>
    </row>
    <row r="430">
      <c r="A430" t="n">
        <v>800185306</v>
      </c>
      <c r="B430" t="inlineStr"/>
      <c r="C430" t="inlineStr"/>
      <c r="D430" t="n">
        <v>14700</v>
      </c>
      <c r="E430" t="inlineStr"/>
    </row>
    <row r="431">
      <c r="A431" t="n">
        <v>9396805</v>
      </c>
      <c r="B431" t="inlineStr"/>
      <c r="C431" t="inlineStr"/>
      <c r="D431" t="n">
        <v>14600</v>
      </c>
      <c r="E431" t="inlineStr"/>
    </row>
    <row r="432">
      <c r="A432" t="n">
        <v>900019547</v>
      </c>
      <c r="B432" t="inlineStr"/>
      <c r="C432" t="inlineStr"/>
      <c r="D432" t="n">
        <v>14444</v>
      </c>
      <c r="E432" t="inlineStr"/>
    </row>
    <row r="433">
      <c r="A433" t="n">
        <v>800215065</v>
      </c>
      <c r="B433" t="inlineStr"/>
      <c r="C433" t="inlineStr"/>
      <c r="D433" t="n">
        <v>14400</v>
      </c>
      <c r="E433" t="inlineStr"/>
    </row>
    <row r="434">
      <c r="A434" t="n">
        <v>800215065</v>
      </c>
      <c r="B434" t="inlineStr"/>
      <c r="C434" t="inlineStr"/>
      <c r="D434" t="n">
        <v>14400</v>
      </c>
      <c r="E434" t="inlineStr"/>
    </row>
    <row r="435">
      <c r="A435" t="n">
        <v>9396805</v>
      </c>
      <c r="B435" t="inlineStr"/>
      <c r="C435" t="inlineStr"/>
      <c r="D435" t="n">
        <v>14400</v>
      </c>
      <c r="E435" t="inlineStr"/>
    </row>
    <row r="436">
      <c r="A436" t="n">
        <v>800185306</v>
      </c>
      <c r="B436" t="inlineStr"/>
      <c r="C436" t="inlineStr"/>
      <c r="D436" t="n">
        <v>14300</v>
      </c>
      <c r="E436" t="inlineStr"/>
    </row>
    <row r="437">
      <c r="A437" t="n">
        <v>800185306</v>
      </c>
      <c r="B437" t="inlineStr"/>
      <c r="C437" t="inlineStr"/>
      <c r="D437" t="n">
        <v>14300</v>
      </c>
      <c r="E437" t="inlineStr"/>
    </row>
    <row r="438">
      <c r="A438" t="n">
        <v>900276962</v>
      </c>
      <c r="B438" t="inlineStr"/>
      <c r="C438" t="inlineStr"/>
      <c r="D438" t="n">
        <v>14160</v>
      </c>
      <c r="E438" t="inlineStr"/>
    </row>
    <row r="439">
      <c r="A439" t="n">
        <v>901517223</v>
      </c>
      <c r="B439" t="inlineStr"/>
      <c r="C439" t="inlineStr"/>
      <c r="D439" t="n">
        <v>14043</v>
      </c>
      <c r="E439" t="inlineStr"/>
    </row>
    <row r="440">
      <c r="A440" t="n">
        <v>900480569</v>
      </c>
      <c r="B440" t="inlineStr"/>
      <c r="C440" t="inlineStr"/>
      <c r="D440" t="n">
        <v>13900</v>
      </c>
      <c r="E440" t="inlineStr"/>
    </row>
    <row r="441">
      <c r="A441" t="n">
        <v>5463640</v>
      </c>
      <c r="B441" t="inlineStr"/>
      <c r="C441" t="inlineStr"/>
      <c r="D441" t="n">
        <v>13571</v>
      </c>
      <c r="E441" t="inlineStr"/>
    </row>
    <row r="442">
      <c r="A442" t="n">
        <v>5463640</v>
      </c>
      <c r="B442" t="inlineStr"/>
      <c r="C442" t="inlineStr"/>
      <c r="D442" t="n">
        <v>13571</v>
      </c>
      <c r="E442" t="inlineStr"/>
    </row>
    <row r="443">
      <c r="A443" t="n">
        <v>800049104</v>
      </c>
      <c r="B443" t="inlineStr"/>
      <c r="C443" t="inlineStr"/>
      <c r="D443" t="n">
        <v>13481</v>
      </c>
      <c r="E443" t="inlineStr"/>
    </row>
    <row r="444">
      <c r="A444" t="n">
        <v>900236520</v>
      </c>
      <c r="B444" t="inlineStr"/>
      <c r="C444" t="inlineStr"/>
      <c r="D444" t="n">
        <v>13445</v>
      </c>
      <c r="E444" t="inlineStr"/>
    </row>
    <row r="445">
      <c r="A445" t="n">
        <v>1121823072</v>
      </c>
      <c r="B445" t="inlineStr"/>
      <c r="C445" t="inlineStr"/>
      <c r="D445" t="n">
        <v>13352</v>
      </c>
      <c r="E445" t="inlineStr"/>
    </row>
    <row r="446">
      <c r="A446" t="n">
        <v>900480569</v>
      </c>
      <c r="B446" t="inlineStr"/>
      <c r="C446" t="inlineStr"/>
      <c r="D446" t="n">
        <v>13030</v>
      </c>
      <c r="E446" t="inlineStr"/>
    </row>
    <row r="447">
      <c r="A447" t="n">
        <v>44444471</v>
      </c>
      <c r="B447" t="inlineStr"/>
      <c r="C447" t="inlineStr"/>
      <c r="D447" t="n">
        <v>12922.26</v>
      </c>
      <c r="E447" t="inlineStr"/>
    </row>
    <row r="448">
      <c r="A448" t="n">
        <v>800185306</v>
      </c>
      <c r="B448" t="inlineStr"/>
      <c r="C448" t="inlineStr"/>
      <c r="D448" t="n">
        <v>12800</v>
      </c>
      <c r="E448" t="inlineStr"/>
    </row>
    <row r="449">
      <c r="A449" t="n">
        <v>800185306</v>
      </c>
      <c r="B449" t="inlineStr"/>
      <c r="C449" t="inlineStr"/>
      <c r="D449" t="n">
        <v>12800</v>
      </c>
      <c r="E449" t="inlineStr"/>
    </row>
    <row r="450">
      <c r="A450" t="n">
        <v>9396805</v>
      </c>
      <c r="B450" t="inlineStr"/>
      <c r="C450" t="inlineStr"/>
      <c r="D450" t="n">
        <v>12780</v>
      </c>
      <c r="E450" t="inlineStr"/>
    </row>
    <row r="451">
      <c r="A451" t="n">
        <v>9396805</v>
      </c>
      <c r="B451" t="inlineStr"/>
      <c r="C451" t="inlineStr"/>
      <c r="D451" t="n">
        <v>12356</v>
      </c>
      <c r="E451" t="inlineStr"/>
    </row>
    <row r="452">
      <c r="A452" t="n">
        <v>901469580</v>
      </c>
      <c r="B452" t="inlineStr"/>
      <c r="C452" t="inlineStr"/>
      <c r="D452" t="n">
        <v>12329</v>
      </c>
      <c r="E452" t="inlineStr"/>
    </row>
    <row r="453">
      <c r="A453" t="n">
        <v>860007322</v>
      </c>
      <c r="B453" t="inlineStr"/>
      <c r="C453" t="inlineStr"/>
      <c r="D453" t="n">
        <v>11600</v>
      </c>
      <c r="E453" t="inlineStr"/>
    </row>
    <row r="454">
      <c r="A454" t="n">
        <v>860007322</v>
      </c>
      <c r="B454" t="inlineStr"/>
      <c r="C454" t="inlineStr"/>
      <c r="D454" t="n">
        <v>11600</v>
      </c>
      <c r="E454" t="inlineStr"/>
    </row>
    <row r="455">
      <c r="A455" t="n">
        <v>900491889</v>
      </c>
      <c r="B455" t="inlineStr"/>
      <c r="C455" t="inlineStr"/>
      <c r="D455" t="n">
        <v>11513</v>
      </c>
      <c r="E455" t="inlineStr"/>
    </row>
    <row r="456">
      <c r="A456" t="n">
        <v>900491889</v>
      </c>
      <c r="B456" t="inlineStr"/>
      <c r="C456" t="inlineStr"/>
      <c r="D456" t="n">
        <v>11512</v>
      </c>
      <c r="E456" t="inlineStr"/>
    </row>
    <row r="457">
      <c r="A457" t="n">
        <v>901469580</v>
      </c>
      <c r="B457" t="inlineStr"/>
      <c r="C457" t="inlineStr"/>
      <c r="D457" t="n">
        <v>11507</v>
      </c>
      <c r="E457" t="inlineStr"/>
    </row>
    <row r="458">
      <c r="A458" t="n">
        <v>800185306</v>
      </c>
      <c r="B458" t="inlineStr"/>
      <c r="C458" t="inlineStr"/>
      <c r="D458" t="n">
        <v>10900</v>
      </c>
      <c r="E458" t="inlineStr"/>
    </row>
    <row r="459">
      <c r="A459" t="n">
        <v>900236520</v>
      </c>
      <c r="B459" t="inlineStr"/>
      <c r="C459" t="inlineStr"/>
      <c r="D459" t="n">
        <v>10883</v>
      </c>
      <c r="E459" t="inlineStr"/>
    </row>
    <row r="460">
      <c r="A460" t="n">
        <v>900236520</v>
      </c>
      <c r="B460" t="inlineStr"/>
      <c r="C460" t="inlineStr"/>
      <c r="D460" t="n">
        <v>10882</v>
      </c>
      <c r="E460" t="inlineStr"/>
    </row>
    <row r="461">
      <c r="A461" t="n">
        <v>19413366</v>
      </c>
      <c r="B461" t="inlineStr"/>
      <c r="C461" t="inlineStr"/>
      <c r="D461" t="n">
        <v>10742</v>
      </c>
      <c r="E461" t="inlineStr"/>
    </row>
    <row r="462">
      <c r="A462" t="n">
        <v>900156839</v>
      </c>
      <c r="B462" t="inlineStr"/>
      <c r="C462" t="inlineStr"/>
      <c r="D462" t="n">
        <v>10471</v>
      </c>
      <c r="E462" t="inlineStr"/>
    </row>
    <row r="463">
      <c r="A463" t="n">
        <v>900156839</v>
      </c>
      <c r="B463" t="inlineStr"/>
      <c r="C463" t="inlineStr"/>
      <c r="D463" t="n">
        <v>10471</v>
      </c>
      <c r="E463" t="inlineStr"/>
    </row>
    <row r="464">
      <c r="A464" t="n">
        <v>900480569</v>
      </c>
      <c r="B464" t="inlineStr"/>
      <c r="C464" t="inlineStr"/>
      <c r="D464" t="n">
        <v>10050</v>
      </c>
      <c r="E464" t="inlineStr"/>
    </row>
    <row r="465">
      <c r="A465" t="n">
        <v>40386676</v>
      </c>
      <c r="B465" t="inlineStr"/>
      <c r="C465" t="inlineStr"/>
      <c r="D465" t="n">
        <v>10000</v>
      </c>
      <c r="E465" t="inlineStr"/>
    </row>
    <row r="466">
      <c r="A466" t="n">
        <v>40386676</v>
      </c>
      <c r="B466" t="inlineStr"/>
      <c r="C466" t="inlineStr"/>
      <c r="D466" t="n">
        <v>10000</v>
      </c>
      <c r="E466" t="inlineStr"/>
    </row>
    <row r="467">
      <c r="A467" t="n">
        <v>79580921</v>
      </c>
      <c r="B467" t="inlineStr"/>
      <c r="C467" t="inlineStr"/>
      <c r="D467" t="n">
        <v>10000</v>
      </c>
      <c r="E467" t="inlineStr"/>
    </row>
    <row r="468">
      <c r="A468" t="n">
        <v>890107487</v>
      </c>
      <c r="B468" t="inlineStr"/>
      <c r="C468" t="inlineStr"/>
      <c r="D468" t="n">
        <v>9810</v>
      </c>
      <c r="E468" t="inlineStr"/>
    </row>
    <row r="469">
      <c r="A469" t="n">
        <v>900480569</v>
      </c>
      <c r="B469" t="inlineStr"/>
      <c r="C469" t="inlineStr"/>
      <c r="D469" t="n">
        <v>9666</v>
      </c>
      <c r="E469" t="inlineStr"/>
    </row>
    <row r="470">
      <c r="A470" t="n">
        <v>900480569</v>
      </c>
      <c r="B470" t="inlineStr"/>
      <c r="C470" t="inlineStr"/>
      <c r="D470" t="n">
        <v>9665</v>
      </c>
      <c r="E470" t="inlineStr"/>
    </row>
    <row r="471">
      <c r="A471" t="n">
        <v>44444471</v>
      </c>
      <c r="B471" t="inlineStr"/>
      <c r="C471" t="inlineStr"/>
      <c r="D471" t="n">
        <v>9398.01</v>
      </c>
      <c r="E471" t="inlineStr"/>
    </row>
    <row r="472">
      <c r="A472" t="n">
        <v>901469580</v>
      </c>
      <c r="B472" t="inlineStr"/>
      <c r="C472" t="inlineStr"/>
      <c r="D472" t="n">
        <v>9315</v>
      </c>
      <c r="E472" t="inlineStr"/>
    </row>
    <row r="473">
      <c r="A473" t="n">
        <v>900491889</v>
      </c>
      <c r="B473" t="inlineStr"/>
      <c r="C473" t="inlineStr"/>
      <c r="D473" t="n">
        <v>8361</v>
      </c>
      <c r="E473" t="inlineStr"/>
    </row>
    <row r="474">
      <c r="A474" t="n">
        <v>830033970</v>
      </c>
      <c r="B474" t="inlineStr"/>
      <c r="C474" t="inlineStr"/>
      <c r="D474" t="n">
        <v>8244</v>
      </c>
      <c r="E474" t="inlineStr"/>
    </row>
    <row r="475">
      <c r="A475" t="n">
        <v>830011089</v>
      </c>
      <c r="B475" t="inlineStr"/>
      <c r="C475" t="inlineStr"/>
      <c r="D475" t="n">
        <v>8111</v>
      </c>
      <c r="E475" t="inlineStr"/>
    </row>
    <row r="476">
      <c r="A476" t="n">
        <v>26431280</v>
      </c>
      <c r="B476" t="inlineStr"/>
      <c r="C476" t="inlineStr"/>
      <c r="D476" t="n">
        <v>7875</v>
      </c>
      <c r="E476" t="inlineStr"/>
    </row>
    <row r="477">
      <c r="A477" t="n">
        <v>26431280</v>
      </c>
      <c r="B477" t="inlineStr"/>
      <c r="C477" t="inlineStr"/>
      <c r="D477" t="n">
        <v>7875</v>
      </c>
      <c r="E477" t="inlineStr"/>
    </row>
    <row r="478">
      <c r="A478" t="n">
        <v>26431280</v>
      </c>
      <c r="B478" t="inlineStr"/>
      <c r="C478" t="inlineStr"/>
      <c r="D478" t="n">
        <v>7875</v>
      </c>
      <c r="E478" t="inlineStr"/>
    </row>
    <row r="479">
      <c r="A479" t="n">
        <v>800219876</v>
      </c>
      <c r="B479" t="inlineStr"/>
      <c r="C479" t="inlineStr"/>
      <c r="D479" t="n">
        <v>7700</v>
      </c>
      <c r="E479" t="inlineStr"/>
    </row>
    <row r="480">
      <c r="A480" t="n">
        <v>800219876</v>
      </c>
      <c r="B480" t="inlineStr"/>
      <c r="C480" t="inlineStr"/>
      <c r="D480" t="n">
        <v>7700</v>
      </c>
      <c r="E480" t="inlineStr"/>
    </row>
    <row r="481">
      <c r="A481" t="n">
        <v>900119072</v>
      </c>
      <c r="B481" t="inlineStr"/>
      <c r="C481" t="inlineStr"/>
      <c r="D481" t="n">
        <v>7380</v>
      </c>
      <c r="E481" t="inlineStr"/>
    </row>
    <row r="482">
      <c r="A482" t="n">
        <v>900119072</v>
      </c>
      <c r="B482" t="inlineStr"/>
      <c r="C482" t="inlineStr"/>
      <c r="D482" t="n">
        <v>7380</v>
      </c>
      <c r="E482" t="inlineStr"/>
    </row>
    <row r="483">
      <c r="A483" t="n">
        <v>901291818</v>
      </c>
      <c r="B483" t="inlineStr"/>
      <c r="C483" t="inlineStr"/>
      <c r="D483" t="n">
        <v>7375</v>
      </c>
      <c r="E483" t="inlineStr"/>
    </row>
    <row r="484">
      <c r="A484" t="n">
        <v>800185306</v>
      </c>
      <c r="B484" t="inlineStr"/>
      <c r="C484" t="inlineStr"/>
      <c r="D484" t="n">
        <v>7100</v>
      </c>
      <c r="E484" t="inlineStr"/>
    </row>
    <row r="485">
      <c r="A485" t="n">
        <v>901290935</v>
      </c>
      <c r="B485" t="inlineStr"/>
      <c r="C485" t="inlineStr"/>
      <c r="D485" t="n">
        <v>7053</v>
      </c>
      <c r="E485" t="inlineStr"/>
    </row>
    <row r="486">
      <c r="A486" t="n">
        <v>901310826</v>
      </c>
      <c r="B486" t="inlineStr"/>
      <c r="C486" t="inlineStr"/>
      <c r="D486" t="n">
        <v>7000</v>
      </c>
      <c r="E486" t="inlineStr"/>
    </row>
    <row r="487">
      <c r="A487" t="n">
        <v>8733680</v>
      </c>
      <c r="B487" t="inlineStr"/>
      <c r="C487" t="inlineStr"/>
      <c r="D487" t="n">
        <v>6757</v>
      </c>
      <c r="E487" t="inlineStr"/>
    </row>
    <row r="488">
      <c r="A488" t="n">
        <v>900119072</v>
      </c>
      <c r="B488" t="inlineStr"/>
      <c r="C488" t="inlineStr"/>
      <c r="D488" t="n">
        <v>6723</v>
      </c>
      <c r="E488" t="inlineStr"/>
    </row>
    <row r="489">
      <c r="A489" t="n">
        <v>900119072</v>
      </c>
      <c r="B489" t="inlineStr"/>
      <c r="C489" t="inlineStr"/>
      <c r="D489" t="n">
        <v>6722</v>
      </c>
      <c r="E489" t="inlineStr"/>
    </row>
    <row r="490">
      <c r="A490" t="n">
        <v>901086450</v>
      </c>
      <c r="B490" t="inlineStr"/>
      <c r="C490" t="inlineStr"/>
      <c r="D490" t="n">
        <v>6650</v>
      </c>
      <c r="E490" t="inlineStr"/>
    </row>
    <row r="491">
      <c r="A491" t="n">
        <v>901086450</v>
      </c>
      <c r="B491" t="inlineStr"/>
      <c r="C491" t="inlineStr"/>
      <c r="D491" t="n">
        <v>6650</v>
      </c>
      <c r="E491" t="inlineStr"/>
    </row>
    <row r="492">
      <c r="A492" t="n">
        <v>901687291</v>
      </c>
      <c r="B492" t="inlineStr"/>
      <c r="C492" t="inlineStr"/>
      <c r="D492" t="n">
        <v>6607</v>
      </c>
      <c r="E492" t="inlineStr"/>
    </row>
    <row r="493">
      <c r="A493" t="n">
        <v>1070815155</v>
      </c>
      <c r="B493" t="inlineStr"/>
      <c r="C493" t="inlineStr"/>
      <c r="D493" t="n">
        <v>6500</v>
      </c>
      <c r="E493" t="inlineStr"/>
    </row>
    <row r="494">
      <c r="A494" t="n">
        <v>860508791</v>
      </c>
      <c r="B494" t="inlineStr"/>
      <c r="C494" t="inlineStr"/>
      <c r="D494" t="n">
        <v>6466</v>
      </c>
      <c r="E494" t="inlineStr"/>
    </row>
    <row r="495">
      <c r="A495" t="n">
        <v>900480569</v>
      </c>
      <c r="B495" t="inlineStr"/>
      <c r="C495" t="inlineStr"/>
      <c r="D495" t="n">
        <v>6442</v>
      </c>
      <c r="E495" t="inlineStr"/>
    </row>
    <row r="496">
      <c r="A496" t="n">
        <v>900480569</v>
      </c>
      <c r="B496" t="inlineStr"/>
      <c r="C496" t="inlineStr"/>
      <c r="D496" t="n">
        <v>6441</v>
      </c>
      <c r="E496" t="inlineStr"/>
    </row>
    <row r="497">
      <c r="A497" t="n">
        <v>900480569</v>
      </c>
      <c r="B497" t="inlineStr"/>
      <c r="C497" t="inlineStr"/>
      <c r="D497" t="n">
        <v>6113</v>
      </c>
      <c r="E497" t="inlineStr"/>
    </row>
    <row r="498">
      <c r="A498" t="n">
        <v>900480569</v>
      </c>
      <c r="B498" t="inlineStr"/>
      <c r="C498" t="inlineStr"/>
      <c r="D498" t="n">
        <v>6112</v>
      </c>
      <c r="E498" t="inlineStr"/>
    </row>
    <row r="499">
      <c r="A499" t="n">
        <v>901310826</v>
      </c>
      <c r="B499" t="inlineStr"/>
      <c r="C499" t="inlineStr"/>
      <c r="D499" t="n">
        <v>5882</v>
      </c>
      <c r="E499" t="inlineStr"/>
    </row>
    <row r="500">
      <c r="A500" t="n">
        <v>23466844</v>
      </c>
      <c r="B500" t="inlineStr"/>
      <c r="C500" t="inlineStr"/>
      <c r="D500" t="n">
        <v>5748</v>
      </c>
      <c r="E500" t="inlineStr"/>
    </row>
    <row r="501">
      <c r="A501" t="n">
        <v>890301163</v>
      </c>
      <c r="B501" t="inlineStr"/>
      <c r="C501" t="inlineStr"/>
      <c r="D501" t="n">
        <v>5719</v>
      </c>
      <c r="E501" t="inlineStr"/>
    </row>
    <row r="502">
      <c r="A502" t="n">
        <v>900100828</v>
      </c>
      <c r="B502" t="inlineStr"/>
      <c r="C502" t="inlineStr"/>
      <c r="D502" t="n">
        <v>5700</v>
      </c>
      <c r="E502" t="inlineStr"/>
    </row>
    <row r="503">
      <c r="A503" t="n">
        <v>901018976</v>
      </c>
      <c r="B503" t="inlineStr"/>
      <c r="C503" t="inlineStr"/>
      <c r="D503" t="n">
        <v>5700</v>
      </c>
      <c r="E503" t="inlineStr"/>
    </row>
    <row r="504">
      <c r="A504" t="n">
        <v>890107487</v>
      </c>
      <c r="B504" t="inlineStr"/>
      <c r="C504" t="inlineStr"/>
      <c r="D504" t="n">
        <v>5662</v>
      </c>
      <c r="E504" t="inlineStr"/>
    </row>
    <row r="505">
      <c r="A505" t="n">
        <v>1014250702</v>
      </c>
      <c r="B505" t="inlineStr"/>
      <c r="C505" t="inlineStr"/>
      <c r="D505" t="n">
        <v>5588</v>
      </c>
      <c r="E505" t="inlineStr"/>
    </row>
    <row r="506">
      <c r="A506" t="n">
        <v>1070815155</v>
      </c>
      <c r="B506" t="inlineStr"/>
      <c r="C506" t="inlineStr"/>
      <c r="D506" t="n">
        <v>5462</v>
      </c>
      <c r="E506" t="inlineStr"/>
    </row>
    <row r="507">
      <c r="A507" t="n">
        <v>901517223</v>
      </c>
      <c r="B507" t="inlineStr"/>
      <c r="C507" t="inlineStr"/>
      <c r="D507" t="n">
        <v>5336</v>
      </c>
      <c r="E507" t="inlineStr"/>
    </row>
    <row r="508">
      <c r="A508" t="n">
        <v>900100828</v>
      </c>
      <c r="B508" t="inlineStr"/>
      <c r="C508" t="inlineStr"/>
      <c r="D508" t="n">
        <v>5249</v>
      </c>
      <c r="E508" t="inlineStr"/>
    </row>
    <row r="509">
      <c r="A509" t="n">
        <v>44444471</v>
      </c>
      <c r="B509" t="inlineStr"/>
      <c r="C509" t="inlineStr"/>
      <c r="D509" t="n">
        <v>4699</v>
      </c>
      <c r="E509" t="inlineStr"/>
    </row>
    <row r="510">
      <c r="A510" t="n">
        <v>900236520</v>
      </c>
      <c r="B510" t="inlineStr"/>
      <c r="C510" t="inlineStr"/>
      <c r="D510" t="n">
        <v>4600</v>
      </c>
      <c r="E510" t="inlineStr"/>
    </row>
    <row r="511">
      <c r="A511" t="n">
        <v>900236520</v>
      </c>
      <c r="B511" t="inlineStr"/>
      <c r="C511" t="inlineStr"/>
      <c r="D511" t="n">
        <v>4600</v>
      </c>
      <c r="E511" t="inlineStr"/>
    </row>
    <row r="512">
      <c r="A512" t="n">
        <v>900480569</v>
      </c>
      <c r="B512" t="inlineStr"/>
      <c r="C512" t="inlineStr"/>
      <c r="D512" t="n">
        <v>4463</v>
      </c>
      <c r="E512" t="inlineStr"/>
    </row>
    <row r="513">
      <c r="A513" t="n">
        <v>900480569</v>
      </c>
      <c r="B513" t="inlineStr"/>
      <c r="C513" t="inlineStr"/>
      <c r="D513" t="n">
        <v>4463</v>
      </c>
      <c r="E513" t="inlineStr"/>
    </row>
    <row r="514">
      <c r="A514" t="n">
        <v>900491889</v>
      </c>
      <c r="B514" t="inlineStr"/>
      <c r="C514" t="inlineStr"/>
      <c r="D514" t="n">
        <v>4375</v>
      </c>
      <c r="E514" t="inlineStr"/>
    </row>
    <row r="515">
      <c r="A515" t="n">
        <v>800219876</v>
      </c>
      <c r="B515" t="inlineStr"/>
      <c r="C515" t="inlineStr"/>
      <c r="D515" t="n">
        <v>4250</v>
      </c>
      <c r="E515" t="inlineStr"/>
    </row>
    <row r="516">
      <c r="A516" t="n">
        <v>800219876</v>
      </c>
      <c r="B516" t="inlineStr"/>
      <c r="C516" t="inlineStr"/>
      <c r="D516" t="n">
        <v>4250</v>
      </c>
      <c r="E516" t="inlineStr"/>
    </row>
    <row r="517">
      <c r="A517" t="n">
        <v>900100828</v>
      </c>
      <c r="B517" t="inlineStr"/>
      <c r="C517" t="inlineStr"/>
      <c r="D517" t="n">
        <v>4167</v>
      </c>
      <c r="E517" t="inlineStr"/>
    </row>
    <row r="518">
      <c r="A518" t="n">
        <v>900236520</v>
      </c>
      <c r="B518" t="inlineStr"/>
      <c r="C518" t="inlineStr"/>
      <c r="D518" t="n">
        <v>4135</v>
      </c>
      <c r="E518" t="inlineStr"/>
    </row>
    <row r="519">
      <c r="A519" t="n">
        <v>800219876</v>
      </c>
      <c r="B519" t="inlineStr"/>
      <c r="C519" t="inlineStr"/>
      <c r="D519" t="n">
        <v>3850</v>
      </c>
      <c r="E519" t="inlineStr"/>
    </row>
    <row r="520">
      <c r="A520" t="n">
        <v>800219876</v>
      </c>
      <c r="B520" t="inlineStr"/>
      <c r="C520" t="inlineStr"/>
      <c r="D520" t="n">
        <v>3850</v>
      </c>
      <c r="E520" t="inlineStr"/>
    </row>
    <row r="521">
      <c r="A521" t="n">
        <v>901727941</v>
      </c>
      <c r="B521" t="inlineStr"/>
      <c r="C521" t="inlineStr"/>
      <c r="D521" t="n">
        <v>3556</v>
      </c>
      <c r="E521" t="inlineStr"/>
    </row>
    <row r="522">
      <c r="A522" t="n">
        <v>860063095</v>
      </c>
      <c r="B522" t="inlineStr"/>
      <c r="C522" t="inlineStr"/>
      <c r="D522" t="n">
        <v>3529</v>
      </c>
      <c r="E522" t="inlineStr"/>
    </row>
    <row r="523">
      <c r="A523" t="n">
        <v>900087704</v>
      </c>
      <c r="B523" t="inlineStr"/>
      <c r="C523" t="inlineStr"/>
      <c r="D523" t="n">
        <v>3420</v>
      </c>
      <c r="E523" t="inlineStr"/>
    </row>
    <row r="524">
      <c r="A524" t="n">
        <v>900480569</v>
      </c>
      <c r="B524" t="inlineStr"/>
      <c r="C524" t="inlineStr"/>
      <c r="D524" t="n">
        <v>3404</v>
      </c>
      <c r="E524" t="inlineStr"/>
    </row>
    <row r="525">
      <c r="A525" t="n">
        <v>830032421</v>
      </c>
      <c r="B525" t="inlineStr"/>
      <c r="C525" t="inlineStr"/>
      <c r="D525" t="n">
        <v>3295</v>
      </c>
      <c r="E525" t="inlineStr"/>
    </row>
    <row r="526">
      <c r="A526" t="n">
        <v>900491889</v>
      </c>
      <c r="B526" t="inlineStr"/>
      <c r="C526" t="inlineStr"/>
      <c r="D526" t="n">
        <v>3177</v>
      </c>
      <c r="E526" t="inlineStr"/>
    </row>
    <row r="527">
      <c r="A527" t="n">
        <v>830112317</v>
      </c>
      <c r="B527" t="inlineStr"/>
      <c r="C527" t="inlineStr"/>
      <c r="D527" t="n">
        <v>3161</v>
      </c>
      <c r="E527" t="inlineStr"/>
    </row>
    <row r="528">
      <c r="A528" t="n">
        <v>900236520</v>
      </c>
      <c r="B528" t="inlineStr"/>
      <c r="C528" t="inlineStr"/>
      <c r="D528" t="n">
        <v>2800</v>
      </c>
      <c r="E528" t="inlineStr"/>
    </row>
    <row r="529">
      <c r="A529" t="n">
        <v>900236520</v>
      </c>
      <c r="B529" t="inlineStr"/>
      <c r="C529" t="inlineStr"/>
      <c r="D529" t="n">
        <v>2800</v>
      </c>
      <c r="E529" t="inlineStr"/>
    </row>
    <row r="530">
      <c r="A530" t="n">
        <v>900480569</v>
      </c>
      <c r="B530" t="inlineStr"/>
      <c r="C530" t="inlineStr"/>
      <c r="D530" t="n">
        <v>2719</v>
      </c>
      <c r="E530" t="inlineStr"/>
    </row>
    <row r="531">
      <c r="A531" t="n">
        <v>900276962</v>
      </c>
      <c r="B531" t="inlineStr"/>
      <c r="C531" t="inlineStr"/>
      <c r="D531" t="n">
        <v>2690</v>
      </c>
      <c r="E531" t="inlineStr"/>
    </row>
    <row r="532">
      <c r="A532" t="n">
        <v>892100110</v>
      </c>
      <c r="B532" t="inlineStr"/>
      <c r="C532" t="inlineStr"/>
      <c r="D532" t="n">
        <v>2600</v>
      </c>
      <c r="E532" t="inlineStr"/>
    </row>
    <row r="533">
      <c r="A533" t="n">
        <v>900236520</v>
      </c>
      <c r="B533" t="inlineStr"/>
      <c r="C533" t="inlineStr"/>
      <c r="D533" t="n">
        <v>2555</v>
      </c>
      <c r="E533" t="inlineStr"/>
    </row>
    <row r="534">
      <c r="A534" t="n">
        <v>900119072</v>
      </c>
      <c r="B534" t="inlineStr"/>
      <c r="C534" t="inlineStr"/>
      <c r="D534" t="n">
        <v>2555</v>
      </c>
      <c r="E534" t="inlineStr"/>
    </row>
    <row r="535">
      <c r="A535" t="n">
        <v>900480569</v>
      </c>
      <c r="B535" t="inlineStr"/>
      <c r="C535" t="inlineStr"/>
      <c r="D535" t="n">
        <v>2470</v>
      </c>
      <c r="E535" t="inlineStr"/>
    </row>
    <row r="536">
      <c r="A536" t="n">
        <v>79580921</v>
      </c>
      <c r="B536" t="inlineStr"/>
      <c r="C536" t="inlineStr"/>
      <c r="D536" t="n">
        <v>2415</v>
      </c>
      <c r="E536" t="inlineStr"/>
    </row>
    <row r="537">
      <c r="A537" t="n">
        <v>900156839</v>
      </c>
      <c r="B537" t="inlineStr"/>
      <c r="C537" t="inlineStr"/>
      <c r="D537" t="n">
        <v>2393</v>
      </c>
      <c r="E537" t="inlineStr"/>
    </row>
    <row r="538">
      <c r="A538" t="n">
        <v>900156839</v>
      </c>
      <c r="B538" t="inlineStr"/>
      <c r="C538" t="inlineStr"/>
      <c r="D538" t="n">
        <v>2393</v>
      </c>
      <c r="E538" t="inlineStr"/>
    </row>
    <row r="539">
      <c r="A539" t="n">
        <v>1014250702</v>
      </c>
      <c r="B539" t="inlineStr"/>
      <c r="C539" t="inlineStr"/>
      <c r="D539" t="n">
        <v>2203</v>
      </c>
      <c r="E539" t="inlineStr"/>
    </row>
    <row r="540">
      <c r="A540" t="n">
        <v>891408584</v>
      </c>
      <c r="B540" t="inlineStr"/>
      <c r="C540" t="inlineStr"/>
      <c r="D540" t="n">
        <v>2193</v>
      </c>
      <c r="E540" t="inlineStr"/>
    </row>
    <row r="541">
      <c r="A541" t="n">
        <v>901469580</v>
      </c>
      <c r="B541" t="inlineStr"/>
      <c r="C541" t="inlineStr"/>
      <c r="D541" t="n">
        <v>2192</v>
      </c>
      <c r="E541" t="inlineStr"/>
    </row>
    <row r="542">
      <c r="A542" t="n">
        <v>901469580</v>
      </c>
      <c r="B542" t="inlineStr"/>
      <c r="C542" t="inlineStr"/>
      <c r="D542" t="n">
        <v>2190</v>
      </c>
      <c r="E542" t="inlineStr"/>
    </row>
    <row r="543">
      <c r="A543" t="n">
        <v>900480569</v>
      </c>
      <c r="B543" t="inlineStr"/>
      <c r="C543" t="inlineStr"/>
      <c r="D543" t="n">
        <v>2167</v>
      </c>
      <c r="E543" t="inlineStr"/>
    </row>
    <row r="544">
      <c r="A544" t="n">
        <v>1121823072</v>
      </c>
      <c r="B544" t="inlineStr"/>
      <c r="C544" t="inlineStr"/>
      <c r="D544" t="n">
        <v>2160</v>
      </c>
      <c r="E544" t="inlineStr"/>
    </row>
    <row r="545">
      <c r="A545" t="n">
        <v>900119072</v>
      </c>
      <c r="B545" t="inlineStr"/>
      <c r="C545" t="inlineStr"/>
      <c r="D545" t="n">
        <v>2140</v>
      </c>
      <c r="E545" t="inlineStr"/>
    </row>
    <row r="546">
      <c r="A546" t="n">
        <v>860063875</v>
      </c>
      <c r="B546" t="inlineStr"/>
      <c r="C546" t="inlineStr"/>
      <c r="D546" t="n">
        <v>2090</v>
      </c>
      <c r="E546" t="inlineStr"/>
    </row>
    <row r="547">
      <c r="A547" t="n">
        <v>860063875</v>
      </c>
      <c r="B547" t="inlineStr"/>
      <c r="C547" t="inlineStr"/>
      <c r="D547" t="n">
        <v>2090</v>
      </c>
      <c r="E547" t="inlineStr"/>
    </row>
    <row r="548">
      <c r="A548" t="n">
        <v>9396805</v>
      </c>
      <c r="B548" t="inlineStr"/>
      <c r="C548" t="inlineStr"/>
      <c r="D548" t="n">
        <v>2044</v>
      </c>
      <c r="E548" t="inlineStr"/>
    </row>
    <row r="549">
      <c r="A549" t="n">
        <v>830033970</v>
      </c>
      <c r="B549" t="inlineStr"/>
      <c r="C549" t="inlineStr"/>
      <c r="D549" t="n">
        <v>1991</v>
      </c>
      <c r="E549" t="inlineStr"/>
    </row>
    <row r="550">
      <c r="A550" t="n">
        <v>9396805</v>
      </c>
      <c r="B550" t="inlineStr"/>
      <c r="C550" t="inlineStr"/>
      <c r="D550" t="n">
        <v>1820</v>
      </c>
      <c r="E550" t="inlineStr"/>
    </row>
    <row r="551">
      <c r="A551" t="n">
        <v>900504232</v>
      </c>
      <c r="B551" t="inlineStr"/>
      <c r="C551" t="inlineStr"/>
      <c r="D551" t="n">
        <v>1700</v>
      </c>
      <c r="E551" t="inlineStr"/>
    </row>
    <row r="552">
      <c r="A552" t="n">
        <v>900480569</v>
      </c>
      <c r="B552" t="inlineStr"/>
      <c r="C552" t="inlineStr"/>
      <c r="D552" t="n">
        <v>1675</v>
      </c>
      <c r="E552" t="inlineStr"/>
    </row>
    <row r="553">
      <c r="A553" t="n">
        <v>900504232</v>
      </c>
      <c r="B553" t="inlineStr"/>
      <c r="C553" t="inlineStr"/>
      <c r="D553" t="n">
        <v>1642</v>
      </c>
      <c r="E553" t="inlineStr"/>
    </row>
    <row r="554">
      <c r="A554" t="n">
        <v>23790835</v>
      </c>
      <c r="B554" t="inlineStr"/>
      <c r="C554" t="inlineStr"/>
      <c r="D554" t="n">
        <v>1440</v>
      </c>
      <c r="E554" t="inlineStr"/>
    </row>
    <row r="555">
      <c r="A555" t="n">
        <v>830122566</v>
      </c>
      <c r="B555" t="inlineStr"/>
      <c r="C555" t="inlineStr"/>
      <c r="D555" t="n">
        <v>1405</v>
      </c>
      <c r="E555" t="inlineStr"/>
    </row>
    <row r="556">
      <c r="A556" t="n">
        <v>26431280</v>
      </c>
      <c r="B556" t="inlineStr"/>
      <c r="C556" t="inlineStr"/>
      <c r="D556" t="n">
        <v>1350</v>
      </c>
      <c r="E556" t="inlineStr"/>
    </row>
    <row r="557">
      <c r="A557" t="n">
        <v>26431280</v>
      </c>
      <c r="B557" t="inlineStr"/>
      <c r="C557" t="inlineStr"/>
      <c r="D557" t="n">
        <v>1350</v>
      </c>
      <c r="E557" t="inlineStr"/>
    </row>
    <row r="558">
      <c r="A558" t="n">
        <v>26431280</v>
      </c>
      <c r="B558" t="inlineStr"/>
      <c r="C558" t="inlineStr"/>
      <c r="D558" t="n">
        <v>1350</v>
      </c>
      <c r="E558" t="inlineStr"/>
    </row>
    <row r="559">
      <c r="A559" t="n">
        <v>901945617</v>
      </c>
      <c r="B559" t="inlineStr"/>
      <c r="C559" t="inlineStr"/>
      <c r="D559" t="n">
        <v>1333</v>
      </c>
      <c r="E559" t="inlineStr"/>
    </row>
    <row r="560">
      <c r="A560" t="n">
        <v>37921571</v>
      </c>
      <c r="B560" t="inlineStr"/>
      <c r="C560" t="inlineStr"/>
      <c r="D560" t="n">
        <v>1222</v>
      </c>
      <c r="E560" t="inlineStr"/>
    </row>
    <row r="561">
      <c r="A561" t="n">
        <v>37921571</v>
      </c>
      <c r="B561" t="inlineStr"/>
      <c r="C561" t="inlineStr"/>
      <c r="D561" t="n">
        <v>1222</v>
      </c>
      <c r="E561" t="inlineStr"/>
    </row>
    <row r="562">
      <c r="A562" t="n">
        <v>23790835</v>
      </c>
      <c r="B562" t="inlineStr"/>
      <c r="C562" t="inlineStr"/>
      <c r="D562" t="n">
        <v>1200</v>
      </c>
      <c r="E562" t="inlineStr"/>
    </row>
    <row r="563">
      <c r="A563" t="n">
        <v>901069055</v>
      </c>
      <c r="B563" t="inlineStr"/>
      <c r="C563" t="inlineStr"/>
      <c r="D563" t="n">
        <v>1134</v>
      </c>
      <c r="E563" t="inlineStr"/>
    </row>
    <row r="564">
      <c r="A564" t="n">
        <v>900480569</v>
      </c>
      <c r="B564" t="inlineStr"/>
      <c r="C564" t="inlineStr"/>
      <c r="D564" t="n">
        <v>1124</v>
      </c>
      <c r="E564" t="inlineStr"/>
    </row>
    <row r="565">
      <c r="A565" t="n">
        <v>901310826</v>
      </c>
      <c r="B565" t="inlineStr"/>
      <c r="C565" t="inlineStr"/>
      <c r="D565" t="n">
        <v>1118</v>
      </c>
      <c r="E565" t="inlineStr"/>
    </row>
    <row r="566">
      <c r="A566" t="n">
        <v>1070815155</v>
      </c>
      <c r="B566" t="inlineStr"/>
      <c r="C566" t="inlineStr"/>
      <c r="D566" t="n">
        <v>1038</v>
      </c>
      <c r="E566" t="inlineStr"/>
    </row>
    <row r="567">
      <c r="A567" t="n">
        <v>860063095</v>
      </c>
      <c r="B567" t="inlineStr"/>
      <c r="C567" t="inlineStr"/>
      <c r="D567" t="n">
        <v>671</v>
      </c>
      <c r="E567" t="inlineStr"/>
    </row>
    <row r="568">
      <c r="A568" t="n">
        <v>830122566</v>
      </c>
      <c r="B568" t="inlineStr"/>
      <c r="C568" t="inlineStr"/>
      <c r="D568" t="n">
        <v>654</v>
      </c>
      <c r="E568" t="inlineStr"/>
    </row>
    <row r="569">
      <c r="A569" t="n">
        <v>901290935</v>
      </c>
      <c r="B569" t="inlineStr"/>
      <c r="C569" t="inlineStr"/>
      <c r="D569" t="n">
        <v>371</v>
      </c>
      <c r="E569" t="inlineStr"/>
    </row>
    <row r="570">
      <c r="A570" t="n">
        <v>901290935</v>
      </c>
      <c r="B570" t="inlineStr"/>
      <c r="C570" t="inlineStr"/>
      <c r="D570" t="n">
        <v>359</v>
      </c>
      <c r="E570" t="inlineStr"/>
    </row>
    <row r="571">
      <c r="A571" t="n">
        <v>900100828</v>
      </c>
      <c r="B571" t="inlineStr"/>
      <c r="C571" t="inlineStr"/>
      <c r="D571" t="n">
        <v>333</v>
      </c>
      <c r="E571" t="inlineStr"/>
    </row>
    <row r="572">
      <c r="A572" t="n">
        <v>830122566</v>
      </c>
      <c r="B572" t="inlineStr"/>
      <c r="C572" t="inlineStr"/>
      <c r="D572" t="n">
        <v>116</v>
      </c>
      <c r="E572" t="inlineStr"/>
    </row>
    <row r="573">
      <c r="A573" t="n">
        <v>900480569</v>
      </c>
      <c r="B573" t="inlineStr"/>
      <c r="C573" t="inlineStr"/>
      <c r="D573" t="n">
        <v>20</v>
      </c>
      <c r="E57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2025-12-01T14:33:57Z</dcterms:created>
  <dcterms:modified xmlns:dcterms="http://purl.org/dc/terms/" xmlns:xsi="http://www.w3.org/2001/XMLSchema-instance" xsi:type="dcterms:W3CDTF">2025-12-01T14:33:57Z</dcterms:modified>
</cp:coreProperties>
</file>